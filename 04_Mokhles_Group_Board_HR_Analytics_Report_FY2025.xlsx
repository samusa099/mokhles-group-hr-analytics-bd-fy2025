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b3755a386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0912f7cacfc48a1"/>
    <x:sheet xmlns:r="http://schemas.openxmlformats.org/officeDocument/2006/relationships" name="Metrics" sheetId="2" r:id="R6d32ce5020a24eae"/>
    <x:sheet xmlns:r="http://schemas.openxmlformats.org/officeDocument/2006/relationships" name="Quarterly KPIs" sheetId="3" r:id="R98743f056526414d"/>
    <x:sheet xmlns:r="http://schemas.openxmlformats.org/officeDocument/2006/relationships" name="Workforce Profile" sheetId="4" r:id="Rfd53e987e10149af"/>
    <x:sheet xmlns:r="http://schemas.openxmlformats.org/officeDocument/2006/relationships" name="Strategic Risks" sheetId="5" r:id="Rd2239ef6052246a4"/>
    <x:sheet xmlns:r="http://schemas.openxmlformats.org/officeDocument/2006/relationships" name="Board Action Tracker" sheetId="6" r:id="Radeed0ade8d14590"/>
    <x:sheet xmlns:r="http://schemas.openxmlformats.org/officeDocument/2006/relationships" name="Notes &amp; Definitions" sheetId="7" r:id="Rca125d241c1b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 &quot;BDT&quot;"/>
    <x:numFmt numFmtId="202" formatCode="0.00 &quot;of 5&quot;"/>
    <x:numFmt numFmtId="203" formatCode="0.0%"/>
    <x:numFmt numFmtId="204" formatCode="0.00"/>
    <x:numFmt numFmtId="205" formatCode="dd-mmm-yyyy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eedfd2a9e45a8" /><Relationship Type="http://schemas.openxmlformats.org/officeDocument/2006/relationships/theme" Target="/xl/theme/theme1.xml" Id="R4b132731506f4961" /><Relationship Type="http://schemas.openxmlformats.org/officeDocument/2006/relationships/sharedStrings" Target="/xl/sharedStrings.xml" Id="Rbc9bf1b369084e7f" /><Relationship Type="http://schemas.openxmlformats.org/officeDocument/2006/relationships/worksheet" Target="/xl/worksheets/sheet1.xml" Id="Re0912f7cacfc48a1" /><Relationship Type="http://schemas.openxmlformats.org/officeDocument/2006/relationships/worksheet" Target="/xl/worksheets/sheet2.xml" Id="R6d32ce5020a24eae" /><Relationship Type="http://schemas.openxmlformats.org/officeDocument/2006/relationships/worksheet" Target="/xl/worksheets/sheet3.xml" Id="R98743f056526414d" /><Relationship Type="http://schemas.openxmlformats.org/officeDocument/2006/relationships/worksheet" Target="/xl/worksheets/sheet4.xml" Id="Rfd53e987e10149af" /><Relationship Type="http://schemas.openxmlformats.org/officeDocument/2006/relationships/worksheet" Target="/xl/worksheets/sheet5.xml" Id="Rd2239ef6052246a4" /><Relationship Type="http://schemas.openxmlformats.org/officeDocument/2006/relationships/worksheet" Target="/xl/worksheets/sheet6.xml" Id="Radeed0ade8d14590" /><Relationship Type="http://schemas.openxmlformats.org/officeDocument/2006/relationships/worksheet" Target="/xl/worksheets/sheet7.xml" Id="Rca125d241c1b40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0d426fc3cf404b" /><Relationship Type="http://schemas.openxmlformats.org/officeDocument/2006/relationships/chart" Target="/xl/drawings/charts/chart2.xml" Id="R1c05244cb92442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Quarterly Workforce Movement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Hires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Exits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'Dashboard'!$C$12:$C$15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Turnover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'Dashboard'!$D$12:$D$15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People Risk Exposure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'Dashboard'!$A$28:$A$35</c:f>
              <c:strCache>
                <c:ptCount val="0"/>
              </c:strCache>
            </c:strRef>
          </c:cat>
          <c:val>
            <c:numRef>
              <c:f>'Dashboard'!$B$28:$B$35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0d426fc3cf404b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05244cb92442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ardQuarterlyKPIs" displayName="BoardQuarterlyKPIs" ref="A4:K8" headerRowCount="1">
  <x:tableColumns count="11">
    <x:tableColumn id="1" name="Quarter"/>
    <x:tableColumn id="2" name="Closing Headcount"/>
    <x:tableColumn id="3" name="Hires"/>
    <x:tableColumn id="4" name="Exits"/>
    <x:tableColumn id="5" name="Turnover Rate"/>
    <x:tableColumn id="6" name="Payroll Cost (BDT)"/>
    <x:tableColumn id="7" name="Absence Rate"/>
    <x:tableColumn id="8" name="Training Hours"/>
    <x:tableColumn id="9" name="Female Representation"/>
    <x:tableColumn id="10" name="Engagement Pulse"/>
    <x:tableColumn id="11" name="Open Vacancies"/>
  </x:tableColumns>
  <x:tableStyleInfo name="TableStyleMedium2" showRowStripes="1"/>
</x:table>
</file>

<file path=xl/tables/table2.xml><?xml version="1.0" encoding="utf-8"?>
<x:table xmlns:x="http://schemas.openxmlformats.org/spreadsheetml/2006/main" id="2" name="BoardWorkforceProfile" displayName="BoardWorkforceProfile" ref="A4:F12" headerRowCount="1">
  <x:tableColumns count="6">
    <x:tableColumn id="1" name="Job Level"/>
    <x:tableColumn id="2" name="Headcount"/>
    <x:tableColumn id="3" name="Female Headcount"/>
    <x:tableColumn id="4" name="Female Representation"/>
    <x:tableColumn id="5" name="Average Monthly Gross (BDT)"/>
    <x:tableColumn id="6" name="Average Performance Score"/>
  </x:tableColumns>
  <x:tableStyleInfo name="TableStyleMedium2" showRowStripes="1"/>
</x:table>
</file>

<file path=xl/tables/table3.xml><?xml version="1.0" encoding="utf-8"?>
<x:table xmlns:x="http://schemas.openxmlformats.org/spreadsheetml/2006/main" id="3" name="BoardStrategicRisks" displayName="BoardStrategicRisks" ref="A4:I12" headerRowCount="1">
  <x:tableColumns count="9">
    <x:tableColumn id="1" name="Risk ID"/>
    <x:tableColumn id="2" name="Strategic People Risk"/>
    <x:tableColumn id="3" name="Likelihood"/>
    <x:tableColumn id="4" name="Impact"/>
    <x:tableColumn id="5" name="Risk Score"/>
    <x:tableColumn id="6" name="Risk Rating"/>
    <x:tableColumn id="7" name="Owner"/>
    <x:tableColumn id="8" name="Mitigation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BoardActionTracker" displayName="BoardActionTracker" ref="A4:F10" headerRowCount="1">
  <x:tableColumns count="6">
    <x:tableColumn id="1" name="Action ID"/>
    <x:tableColumn id="2" name="Board Action"/>
    <x:tableColumn id="3" name="Owner"/>
    <x:tableColumn id="4" name="Due Date"/>
    <x:tableColumn id="5" name="Priority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bb73d65dd4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1ffbe022d1e45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5bda106fed49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a4383d3fe7e42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54e93a475248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HR BOARD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strategic workforce indicators, risks and board-level action priorities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Year-End Headcount</x:v>
      </x:c>
      <x:c r="B6" s="26"/>
      <x:c r="C6" s="26"/>
      <x:c r="D6" s="26" t="str">
        <x:v>Annual Payroll</x:v>
      </x:c>
      <x:c r="E6" s="26"/>
      <x:c r="F6" s="26"/>
      <x:c r="G6" s="26" t="str">
        <x:v>Average Engagement</x:v>
      </x:c>
      <x:c r="H6" s="26"/>
      <x:c r="I6" s="26"/>
      <x:c r="J6" s="26" t="str">
        <x:v>Critical Vacancies</x:v>
      </x:c>
      <x:c r="K6" s="26"/>
      <x:c r="L6" s="26"/>
    </x:row>
    <x:row r="7">
      <x:c r="A7" s="38" t="n">
        <x:f>Metrics!B2</x:f>
        <x:v>456</x:v>
      </x:c>
      <x:c r="B7" s="38"/>
      <x:c r="C7" s="38"/>
      <x:c r="D7" s="48" t="n">
        <x:f>Metrics!B3</x:f>
        <x:v>382114500</x:v>
      </x:c>
      <x:c r="E7" s="48"/>
      <x:c r="F7" s="48"/>
      <x:c r="G7" s="50" t="n">
        <x:f>Metrics!B4</x:f>
        <x:v>4.025</x:v>
      </x:c>
      <x:c r="H7" s="50"/>
      <x:c r="I7" s="50"/>
      <x:c r="J7" s="52" t="n">
        <x:f>Metrics!B5</x:f>
        <x:v>23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Quarterly Strategic People KPIs</x:v>
      </x:c>
      <x:c r="B10" s="55"/>
      <x:c r="C10" s="55"/>
      <x:c r="D10" s="55"/>
      <x:c r="E10" s="55"/>
      <x:c r="F10" s="55"/>
    </x:row>
    <x:row r="11" ht="28" customHeight="1">
      <x:c r="A11" s="60" t="str">
        <x:v>Quarter</x:v>
      </x:c>
      <x:c r="B11" s="60" t="str">
        <x:v>Hires</x:v>
      </x:c>
      <x:c r="C11" s="60" t="str">
        <x:v>Exits</x:v>
      </x:c>
      <x:c r="D11" s="60" t="str">
        <x:v>Turnover</x:v>
      </x:c>
    </x:row>
    <x:row r="12">
      <x:c r="A12" t="str">
        <x:v>Q1</x:v>
      </x:c>
      <x:c r="B12" t="n">
        <x:v>24</x:v>
      </x:c>
      <x:c r="C12" t="n">
        <x:v>16</x:v>
      </x:c>
      <x:c r="D12" t="n">
        <x:v>0.037573385518591</x:v>
      </x:c>
    </x:row>
    <x:row r="13">
      <x:c r="A13" t="str">
        <x:v>Q2</x:v>
      </x:c>
      <x:c r="B13" t="n">
        <x:v>21</x:v>
      </x:c>
      <x:c r="C13" t="n">
        <x:v>12</x:v>
      </x:c>
      <x:c r="D13" t="n">
        <x:v>0.02766039185555129</x:v>
      </x:c>
    </x:row>
    <x:row r="14">
      <x:c r="A14" t="str">
        <x:v>Q3</x:v>
      </x:c>
      <x:c r="B14" t="n">
        <x:v>29</x:v>
      </x:c>
      <x:c r="C14" t="n">
        <x:v>13</x:v>
      </x:c>
      <x:c r="D14" t="n">
        <x:v>0.02907193440178904</x:v>
      </x:c>
    </x:row>
    <x:row r="15">
      <x:c r="A15" t="str">
        <x:v>Q4</x:v>
      </x:c>
      <x:c r="B15" t="n">
        <x:v>22</x:v>
      </x:c>
      <x:c r="C15" t="n">
        <x:v>19</x:v>
      </x:c>
      <x:c r="D15" t="n">
        <x:v>0.04197349042709867</x:v>
      </x:c>
    </x:row>
    <x:row r="26" ht="24" customHeight="1">
      <x:c r="A26" s="55" t="str">
        <x:v>Strategic People Risk Scores</x:v>
      </x:c>
      <x:c r="B26" s="55"/>
      <x:c r="C26" s="55"/>
      <x:c r="D26" s="55"/>
      <x:c r="E26" s="55"/>
      <x:c r="F26" s="55"/>
    </x:row>
    <x:row r="27" ht="28" customHeight="1">
      <x:c r="A27" s="60" t="str">
        <x:v>Risk</x:v>
      </x:c>
      <x:c r="B27" s="60" t="str">
        <x:v>Score</x:v>
      </x:c>
    </x:row>
    <x:row r="28">
      <x:c r="A28" t="str">
        <x:v>R-01</x:v>
      </x:c>
      <x:c r="B28" t="n">
        <x:v>16</x:v>
      </x:c>
    </x:row>
    <x:row r="29">
      <x:c r="A29" t="str">
        <x:v>R-02</x:v>
      </x:c>
      <x:c r="B29" t="n">
        <x:v>20</x:v>
      </x:c>
    </x:row>
    <x:row r="30">
      <x:c r="A30" t="str">
        <x:v>R-03</x:v>
      </x:c>
      <x:c r="B30" t="n">
        <x:v>15</x:v>
      </x:c>
    </x:row>
    <x:row r="31">
      <x:c r="A31" t="str">
        <x:v>R-04</x:v>
      </x:c>
      <x:c r="B31" t="n">
        <x:v>10</x:v>
      </x:c>
    </x:row>
    <x:row r="32">
      <x:c r="A32" t="str">
        <x:v>R-05</x:v>
      </x:c>
      <x:c r="B32" t="n">
        <x:v>15</x:v>
      </x:c>
    </x:row>
    <x:row r="33">
      <x:c r="A33" t="str">
        <x:v>R-06</x:v>
      </x:c>
      <x:c r="B33" t="n">
        <x:v>12</x:v>
      </x:c>
    </x:row>
    <x:row r="34">
      <x:c r="A34" t="str">
        <x:v>R-07</x:v>
      </x:c>
      <x:c r="B34" t="n">
        <x:v>12</x:v>
      </x:c>
    </x:row>
    <x:row r="35">
      <x:c r="A35" t="str">
        <x:v>R-08</x:v>
      </x:c>
      <x:c r="B35" t="n">
        <x:v>9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bbbb73d65dd44694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Year-End Headcount</x:v>
      </x:c>
      <x:c r="B2" t="n">
        <x:v>456</x:v>
      </x:c>
      <x:c r="C2" t="str">
        <x:v>0</x:v>
      </x:c>
    </x:row>
    <x:row r="3">
      <x:c r="A3" t="str">
        <x:v>Annual Payroll</x:v>
      </x:c>
      <x:c r="B3" t="n">
        <x:v>382114500</x:v>
      </x:c>
      <x:c r="C3" t="str">
        <x:v>#,##0 "BDT"</x:v>
      </x:c>
    </x:row>
    <x:row r="4">
      <x:c r="A4" t="str">
        <x:v>Average Engagement</x:v>
      </x:c>
      <x:c r="B4" t="n">
        <x:v>4.025</x:v>
      </x:c>
      <x:c r="C4" t="str">
        <x:v>0.00 "of 5"</x:v>
      </x:c>
    </x:row>
    <x:row r="5">
      <x:c r="A5" t="str">
        <x:v>Critical Vacancies</x:v>
      </x:c>
      <x:c r="B5" t="n">
        <x:v>23</x:v>
      </x:c>
      <x:c r="C5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70" t="str">
        <x:v>Board-Level Quarterly HR Indicators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</x:row>
    <x:row r="4" ht="28" customHeight="1">
      <x:c r="A4" s="60" t="str">
        <x:v>Quarter</x:v>
      </x:c>
      <x:c r="B4" s="60" t="str">
        <x:v>Closing Headcount</x:v>
      </x:c>
      <x:c r="C4" s="60" t="str">
        <x:v>Hires</x:v>
      </x:c>
      <x:c r="D4" s="60" t="str">
        <x:v>Exits</x:v>
      </x:c>
      <x:c r="E4" s="60" t="str">
        <x:v>Turnover Rate</x:v>
      </x:c>
      <x:c r="F4" s="60" t="str">
        <x:v>Payroll Cost (BDT)</x:v>
      </x:c>
      <x:c r="G4" s="60" t="str">
        <x:v>Absence Rate</x:v>
      </x:c>
      <x:c r="H4" s="60" t="str">
        <x:v>Training Hours</x:v>
      </x:c>
      <x:c r="I4" s="60" t="str">
        <x:v>Female Representation</x:v>
      </x:c>
      <x:c r="J4" s="60" t="str">
        <x:v>Engagement Pulse</x:v>
      </x:c>
      <x:c r="K4" s="60" t="str">
        <x:v>Open Vacancies</x:v>
      </x:c>
    </x:row>
    <x:row r="5" ht="18" customHeight="1">
      <x:c r="A5" s="78" t="str">
        <x:v>Q1</x:v>
      </x:c>
      <x:c r="B5" s="78" t="n">
        <x:v>428</x:v>
      </x:c>
      <x:c r="C5" s="78" t="n">
        <x:v>24</x:v>
      </x:c>
      <x:c r="D5" s="78" t="n">
        <x:v>16</x:v>
      </x:c>
      <x:c r="E5" s="80" t="n">
        <x:v>0.037573385518591</x:v>
      </x:c>
      <x:c r="F5" s="82" t="n">
        <x:v>93465000</x:v>
      </x:c>
      <x:c r="G5" s="80" t="n">
        <x:v>0.030656361317993</x:v>
      </x:c>
      <x:c r="H5" s="78" t="n">
        <x:v>1768</x:v>
      </x:c>
      <x:c r="I5" s="80" t="n">
        <x:v>0.26869158878504673</x:v>
      </x:c>
      <x:c r="J5" s="84" t="n">
        <x:v>3.99</x:v>
      </x:c>
      <x:c r="K5" s="78" t="n">
        <x:v>0</x:v>
      </x:c>
    </x:row>
    <x:row r="6" ht="18" customHeight="1">
      <x:c r="A6" s="78" t="str">
        <x:v>Q2</x:v>
      </x:c>
      <x:c r="B6" s="78" t="n">
        <x:v>437</x:v>
      </x:c>
      <x:c r="C6" s="78" t="n">
        <x:v>21</x:v>
      </x:c>
      <x:c r="D6" s="78" t="n">
        <x:v>12</x:v>
      </x:c>
      <x:c r="E6" s="80" t="n">
        <x:v>0.02766039185555129</x:v>
      </x:c>
      <x:c r="F6" s="82" t="n">
        <x:v>94520500</x:v>
      </x:c>
      <x:c r="G6" s="80" t="n">
        <x:v>0.036229715295080386</x:v>
      </x:c>
      <x:c r="H6" s="78" t="n">
        <x:v>2160</x:v>
      </x:c>
      <x:c r="I6" s="80" t="n">
        <x:v>0.2608695652173913</x:v>
      </x:c>
      <x:c r="J6" s="84" t="n">
        <x:v>4.09</x:v>
      </x:c>
      <x:c r="K6" s="78" t="n">
        <x:v>0</x:v>
      </x:c>
    </x:row>
    <x:row r="7" ht="18" customHeight="1">
      <x:c r="A7" s="78" t="str">
        <x:v>Q3</x:v>
      </x:c>
      <x:c r="B7" s="78" t="n">
        <x:v>453</x:v>
      </x:c>
      <x:c r="C7" s="78" t="n">
        <x:v>29</x:v>
      </x:c>
      <x:c r="D7" s="78" t="n">
        <x:v>13</x:v>
      </x:c>
      <x:c r="E7" s="80" t="n">
        <x:v>0.02907193440178904</x:v>
      </x:c>
      <x:c r="F7" s="82" t="n">
        <x:v>97311500</x:v>
      </x:c>
      <x:c r="G7" s="80" t="n">
        <x:v>0.04147738822461672</x:v>
      </x:c>
      <x:c r="H7" s="78" t="n">
        <x:v>3138</x:v>
      </x:c>
      <x:c r="I7" s="80" t="n">
        <x:v>0.26490066225165565</x:v>
      </x:c>
      <x:c r="J7" s="84" t="n">
        <x:v>4.03</x:v>
      </x:c>
      <x:c r="K7" s="78" t="n">
        <x:v>0</x:v>
      </x:c>
    </x:row>
    <x:row r="8" ht="18" customHeight="1">
      <x:c r="A8" s="78" t="str">
        <x:v>Q4</x:v>
      </x:c>
      <x:c r="B8" s="78" t="n">
        <x:v>456</x:v>
      </x:c>
      <x:c r="C8" s="78" t="n">
        <x:v>22</x:v>
      </x:c>
      <x:c r="D8" s="78" t="n">
        <x:v>19</x:v>
      </x:c>
      <x:c r="E8" s="80" t="n">
        <x:v>0.04197349042709867</x:v>
      </x:c>
      <x:c r="F8" s="82" t="n">
        <x:v>96817500</x:v>
      </x:c>
      <x:c r="G8" s="80" t="n">
        <x:v>0.023085013006675432</x:v>
      </x:c>
      <x:c r="H8" s="78" t="n">
        <x:v>561</x:v>
      </x:c>
      <x:c r="I8" s="80" t="n">
        <x:v>0.2675438596491228</x:v>
      </x:c>
      <x:c r="J8" s="84" t="n">
        <x:v>3.98</x:v>
      </x:c>
      <x:c r="K8" s="78" t="n">
        <x:v>48</x:v>
      </x:c>
    </x:row>
  </x:sheetData>
  <x:mergeCells>
    <x:mergeCell ref="A1:K2"/>
    <x:mergeCell ref="A3:K3"/>
  </x:mergeCells>
  <x:conditionalFormatting sqref="E5:E8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G5:G8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J5:J8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ffbe022d1e45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70" t="str">
        <x:v>Workforce Profile by Job Level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</x:row>
    <x:row r="4" ht="28" customHeight="1">
      <x:c r="A4" s="60" t="str">
        <x:v>Job Level</x:v>
      </x:c>
      <x:c r="B4" s="60" t="str">
        <x:v>Headcount</x:v>
      </x:c>
      <x:c r="C4" s="60" t="str">
        <x:v>Female Headcount</x:v>
      </x:c>
      <x:c r="D4" s="60" t="str">
        <x:v>Female Representation</x:v>
      </x:c>
      <x:c r="E4" s="60" t="str">
        <x:v>Average Monthly Gross (BDT)</x:v>
      </x:c>
      <x:c r="F4" s="60" t="str">
        <x:v>Average Performance Score</x:v>
      </x:c>
    </x:row>
    <x:row r="5" ht="18" customHeight="1">
      <x:c r="A5" s="78" t="str">
        <x:v>Worker</x:v>
      </x:c>
      <x:c r="B5" s="78" t="n">
        <x:v>80</x:v>
      </x:c>
      <x:c r="C5" s="78" t="n">
        <x:v>17</x:v>
      </x:c>
      <x:c r="D5" s="80" t="n">
        <x:v>0.2125</x:v>
      </x:c>
      <x:c r="E5" s="82" t="n">
        <x:v>26244</x:v>
      </x:c>
      <x:c r="F5" s="84" t="n">
        <x:v>88.4</x:v>
      </x:c>
    </x:row>
    <x:row r="6" ht="18" customHeight="1">
      <x:c r="A6" s="78" t="str">
        <x:v>Junior Staff</x:v>
      </x:c>
      <x:c r="B6" s="78" t="n">
        <x:v>94</x:v>
      </x:c>
      <x:c r="C6" s="78" t="n">
        <x:v>22</x:v>
      </x:c>
      <x:c r="D6" s="80" t="n">
        <x:v>0.23404255319148937</x:v>
      </x:c>
      <x:c r="E6" s="82" t="n">
        <x:v>37697</x:v>
      </x:c>
      <x:c r="F6" s="84" t="n">
        <x:v>85.6</x:v>
      </x:c>
    </x:row>
    <x:row r="7" ht="18" customHeight="1">
      <x:c r="A7" s="78" t="str">
        <x:v>Officer</x:v>
      </x:c>
      <x:c r="B7" s="78" t="n">
        <x:v>90</x:v>
      </x:c>
      <x:c r="C7" s="78" t="n">
        <x:v>22</x:v>
      </x:c>
      <x:c r="D7" s="80" t="n">
        <x:v>0.24444444444444444</x:v>
      </x:c>
      <x:c r="E7" s="82" t="n">
        <x:v>52267</x:v>
      </x:c>
      <x:c r="F7" s="84" t="n">
        <x:v>86.9</x:v>
      </x:c>
    </x:row>
    <x:row r="8" ht="18" customHeight="1">
      <x:c r="A8" s="78" t="str">
        <x:v>Senior Officer</x:v>
      </x:c>
      <x:c r="B8" s="78" t="n">
        <x:v>64</x:v>
      </x:c>
      <x:c r="C8" s="78" t="n">
        <x:v>19</x:v>
      </x:c>
      <x:c r="D8" s="80" t="n">
        <x:v>0.296875</x:v>
      </x:c>
      <x:c r="E8" s="82" t="n">
        <x:v>71977</x:v>
      </x:c>
      <x:c r="F8" s="84" t="n">
        <x:v>88.3</x:v>
      </x:c>
    </x:row>
    <x:row r="9" ht="18" customHeight="1">
      <x:c r="A9" s="78" t="str">
        <x:v>Executive</x:v>
      </x:c>
      <x:c r="B9" s="78" t="n">
        <x:v>66</x:v>
      </x:c>
      <x:c r="C9" s="78" t="n">
        <x:v>18</x:v>
      </x:c>
      <x:c r="D9" s="80" t="n">
        <x:v>0.2727272727272727</x:v>
      </x:c>
      <x:c r="E9" s="82" t="n">
        <x:v>92220</x:v>
      </x:c>
      <x:c r="F9" s="84" t="n">
        <x:v>88.3</x:v>
      </x:c>
    </x:row>
    <x:row r="10" ht="18" customHeight="1">
      <x:c r="A10" s="78" t="str">
        <x:v>Manager</x:v>
      </x:c>
      <x:c r="B10" s="78" t="n">
        <x:v>37</x:v>
      </x:c>
      <x:c r="C10" s="78" t="n">
        <x:v>16</x:v>
      </x:c>
      <x:c r="D10" s="80" t="n">
        <x:v>0.43243243243243246</x:v>
      </x:c>
      <x:c r="E10" s="82" t="n">
        <x:v>141770</x:v>
      </x:c>
      <x:c r="F10" s="84" t="n">
        <x:v>86.6</x:v>
      </x:c>
    </x:row>
    <x:row r="11" ht="18" customHeight="1">
      <x:c r="A11" s="78" t="str">
        <x:v>Senior Manager</x:v>
      </x:c>
      <x:c r="B11" s="78" t="n">
        <x:v>23</x:v>
      </x:c>
      <x:c r="C11" s="78" t="n">
        <x:v>7</x:v>
      </x:c>
      <x:c r="D11" s="80" t="n">
        <x:v>0.30434782608695654</x:v>
      </x:c>
      <x:c r="E11" s="82" t="n">
        <x:v>230348</x:v>
      </x:c>
      <x:c r="F11" s="84" t="n">
        <x:v>84.2</x:v>
      </x:c>
    </x:row>
    <x:row r="12" ht="18" customHeight="1">
      <x:c r="A12" s="78" t="str">
        <x:v>Head</x:v>
      </x:c>
      <x:c r="B12" s="78" t="n">
        <x:v>2</x:v>
      </x:c>
      <x:c r="C12" s="78" t="n">
        <x:v>1</x:v>
      </x:c>
      <x:c r="D12" s="80" t="n">
        <x:v>0.5</x:v>
      </x:c>
      <x:c r="E12" s="82" t="n">
        <x:v>351250</x:v>
      </x:c>
      <x:c r="F12" s="84" t="n">
        <x:v>84.2</x:v>
      </x:c>
    </x:row>
  </x:sheetData>
  <x:mergeCells>
    <x:mergeCell ref="A1:F2"/>
    <x:mergeCell ref="A3:F3"/>
  </x:mergeCells>
  <x:conditionalFormatting sqref="D5:D12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F5:F12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e5bda106fed49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15" hidden="0" customWidth="1"/>
    <x:col min="9" max="9" width="15" hidden="0" customWidth="1"/>
  </x:cols>
  <x:sheetData>
    <x:row r="1">
      <x:c r="A1" s="70" t="str">
        <x:v>Strategic People Risk Register</x:v>
      </x:c>
      <x:c r="B1" s="70"/>
      <x:c r="C1" s="70"/>
      <x:c r="D1" s="70"/>
      <x:c r="E1" s="70"/>
      <x:c r="F1" s="70"/>
      <x:c r="G1" s="70"/>
      <x:c r="H1" s="70"/>
      <x:c r="I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</x:row>
    <x:row r="4" ht="28" customHeight="1">
      <x:c r="A4" s="60" t="str">
        <x:v>Risk ID</x:v>
      </x:c>
      <x:c r="B4" s="60" t="str">
        <x:v>Strategic People Risk</x:v>
      </x:c>
      <x:c r="C4" s="60" t="str">
        <x:v>Likelihood</x:v>
      </x:c>
      <x:c r="D4" s="60" t="str">
        <x:v>Impact</x:v>
      </x:c>
      <x:c r="E4" s="60" t="str">
        <x:v>Risk Score</x:v>
      </x:c>
      <x:c r="F4" s="60" t="str">
        <x:v>Risk Rating</x:v>
      </x:c>
      <x:c r="G4" s="60" t="str">
        <x:v>Owner</x:v>
      </x:c>
      <x:c r="H4" s="60" t="str">
        <x:v>Mitigation</x:v>
      </x:c>
      <x:c r="I4" s="60" t="str">
        <x:v>Status</x:v>
      </x:c>
    </x:row>
    <x:row r="5" ht="18" customHeight="1">
      <x:c r="A5" s="78" t="str">
        <x:v>R-01</x:v>
      </x:c>
      <x:c r="B5" s="78" t="str">
        <x:v>High turnover in frontline sales roles</x:v>
      </x:c>
      <x:c r="C5" s="86" t="n">
        <x:v>4</x:v>
      </x:c>
      <x:c r="D5" s="86" t="n">
        <x:v>4</x:v>
      </x:c>
      <x:c r="E5" s="86" t="n">
        <x:v>16</x:v>
      </x:c>
      <x:c r="F5" s="78" t="str">
        <x:v>High</x:v>
      </x:c>
      <x:c r="G5" s="78" t="str">
        <x:v>Head of Sales &amp; Marketing</x:v>
      </x:c>
      <x:c r="H5" s="78" t="str">
        <x:v>Revise incentive design, strengthen supervisor coaching and career pathways</x:v>
      </x:c>
      <x:c r="I5" s="78" t="str">
        <x:v>In Progress</x:v>
      </x:c>
    </x:row>
    <x:row r="6" ht="18" customHeight="1">
      <x:c r="A6" s="78" t="str">
        <x:v>R-02</x:v>
      </x:c>
      <x:c r="B6" s="78" t="str">
        <x:v>Shortage of skilled maintenance technicians</x:v>
      </x:c>
      <x:c r="C6" s="86" t="n">
        <x:v>4</x:v>
      </x:c>
      <x:c r="D6" s="86" t="n">
        <x:v>5</x:v>
      </x:c>
      <x:c r="E6" s="86" t="n">
        <x:v>20</x:v>
      </x:c>
      <x:c r="F6" s="78" t="str">
        <x:v>Critical</x:v>
      </x:c>
      <x:c r="G6" s="78" t="str">
        <x:v>Head of Engineering</x:v>
      </x:c>
      <x:c r="H6" s="78" t="str">
        <x:v>Build technical apprenticeship pipeline and vendor certification plan</x:v>
      </x:c>
      <x:c r="I6" s="78" t="str">
        <x:v>In Progress</x:v>
      </x:c>
    </x:row>
    <x:row r="7" ht="18" customHeight="1">
      <x:c r="A7" s="78" t="str">
        <x:v>R-03</x:v>
      </x:c>
      <x:c r="B7" s="78" t="str">
        <x:v>Succession gap in key managerial positions</x:v>
      </x:c>
      <x:c r="C7" s="86" t="n">
        <x:v>3</x:v>
      </x:c>
      <x:c r="D7" s="86" t="n">
        <x:v>5</x:v>
      </x:c>
      <x:c r="E7" s="86" t="n">
        <x:v>15</x:v>
      </x:c>
      <x:c r="F7" s="78" t="str">
        <x:v>High</x:v>
      </x:c>
      <x:c r="G7" s="78" t="str">
        <x:v>Head of Human Resources</x:v>
      </x:c>
      <x:c r="H7" s="78" t="str">
        <x:v>Complete talent review, successor development and readiness assessment</x:v>
      </x:c>
      <x:c r="I7" s="78" t="str">
        <x:v>In Progress</x:v>
      </x:c>
    </x:row>
    <x:row r="8" ht="18" customHeight="1">
      <x:c r="A8" s="78" t="str">
        <x:v>R-04</x:v>
      </x:c>
      <x:c r="B8" s="78" t="str">
        <x:v>Payroll control weakness during rapid hiring</x:v>
      </x:c>
      <x:c r="C8" s="86" t="n">
        <x:v>2</x:v>
      </x:c>
      <x:c r="D8" s="86" t="n">
        <x:v>5</x:v>
      </x:c>
      <x:c r="E8" s="86" t="n">
        <x:v>10</x:v>
      </x:c>
      <x:c r="F8" s="78" t="str">
        <x:v>Medium</x:v>
      </x:c>
      <x:c r="G8" s="78" t="str">
        <x:v>Chief Financial Officer</x:v>
      </x:c>
      <x:c r="H8" s="78" t="str">
        <x:v>Introduce maker-checker controls and HRIS-payroll reconciliation</x:v>
      </x:c>
      <x:c r="I8" s="78" t="str">
        <x:v>Monitoring</x:v>
      </x:c>
    </x:row>
    <x:row r="9" ht="18" customHeight="1">
      <x:c r="A9" s="78" t="str">
        <x:v>R-05</x:v>
      </x:c>
      <x:c r="B9" s="78" t="str">
        <x:v>Safety incident concentration in production sites</x:v>
      </x:c>
      <x:c r="C9" s="86" t="n">
        <x:v>3</x:v>
      </x:c>
      <x:c r="D9" s="86" t="n">
        <x:v>5</x:v>
      </x:c>
      <x:c r="E9" s="86" t="n">
        <x:v>15</x:v>
      </x:c>
      <x:c r="F9" s="78" t="str">
        <x:v>High</x:v>
      </x:c>
      <x:c r="G9" s="78" t="str">
        <x:v>HSE Manager</x:v>
      </x:c>
      <x:c r="H9" s="78" t="str">
        <x:v>Engineering controls, behaviour observations and closure governance</x:v>
      </x:c>
      <x:c r="I9" s="78" t="str">
        <x:v>In Progress</x:v>
      </x:c>
    </x:row>
    <x:row r="10" ht="18" customHeight="1">
      <x:c r="A10" s="78" t="str">
        <x:v>R-06</x:v>
      </x:c>
      <x:c r="B10" s="78" t="str">
        <x:v>Low female representation in senior operations roles</x:v>
      </x:c>
      <x:c r="C10" s="86" t="n">
        <x:v>4</x:v>
      </x:c>
      <x:c r="D10" s="86" t="n">
        <x:v>3</x:v>
      </x:c>
      <x:c r="E10" s="86" t="n">
        <x:v>12</x:v>
      </x:c>
      <x:c r="F10" s="78" t="str">
        <x:v>High</x:v>
      </x:c>
      <x:c r="G10" s="78" t="str">
        <x:v>Head of Human Resources</x:v>
      </x:c>
      <x:c r="H10" s="78" t="str">
        <x:v>Targeted hiring, mentoring and inclusive promotion slates</x:v>
      </x:c>
      <x:c r="I10" s="78" t="str">
        <x:v>In Progress</x:v>
      </x:c>
    </x:row>
    <x:row r="11" ht="18" customHeight="1">
      <x:c r="A11" s="78" t="str">
        <x:v>R-07</x:v>
      </x:c>
      <x:c r="B11" s="78" t="str">
        <x:v>Critical vacancies exceeding target time-to-fill</x:v>
      </x:c>
      <x:c r="C11" s="86" t="n">
        <x:v>3</x:v>
      </x:c>
      <x:c r="D11" s="86" t="n">
        <x:v>4</x:v>
      </x:c>
      <x:c r="E11" s="86" t="n">
        <x:v>12</x:v>
      </x:c>
      <x:c r="F11" s="78" t="str">
        <x:v>High</x:v>
      </x:c>
      <x:c r="G11" s="78" t="str">
        <x:v>Talent Acquisition Lead</x:v>
      </x:c>
      <x:c r="H11" s="78" t="str">
        <x:v>Build talent pools, preferred agencies and internal mobility process</x:v>
      </x:c>
      <x:c r="I11" s="78" t="str">
        <x:v>Monitoring</x:v>
      </x:c>
    </x:row>
    <x:row r="12" ht="18" customHeight="1">
      <x:c r="A12" s="78" t="str">
        <x:v>R-08</x:v>
      </x:c>
      <x:c r="B12" s="78" t="str">
        <x:v>Employee fatigue from overtime peaks</x:v>
      </x:c>
      <x:c r="C12" s="86" t="n">
        <x:v>3</x:v>
      </x:c>
      <x:c r="D12" s="86" t="n">
        <x:v>3</x:v>
      </x:c>
      <x:c r="E12" s="86" t="n">
        <x:v>9</x:v>
      </x:c>
      <x:c r="F12" s="78" t="str">
        <x:v>Medium</x:v>
      </x:c>
      <x:c r="G12" s="78" t="str">
        <x:v>Plant Operations Manager</x:v>
      </x:c>
      <x:c r="H12" s="78" t="str">
        <x:v>Shift redesign, workload analysis and overtime approval thresholds</x:v>
      </x:c>
      <x:c r="I12" s="78" t="str">
        <x:v>Monitoring</x:v>
      </x:c>
    </x:row>
  </x:sheetData>
  <x:mergeCells>
    <x:mergeCell ref="A1:I2"/>
    <x:mergeCell ref="A3:I3"/>
  </x:mergeCells>
  <x:conditionalFormatting sqref="E5:E12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a4383d3fe7e42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13" hidden="0" customWidth="1"/>
    <x:col min="5" max="5" width="15" hidden="0" customWidth="1"/>
    <x:col min="6" max="6" width="15" hidden="0" customWidth="1"/>
  </x:cols>
  <x:sheetData>
    <x:row r="1">
      <x:c r="A1" s="70" t="str">
        <x:v>Board HR Action Tracker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</x:row>
    <x:row r="4" ht="28" customHeight="1">
      <x:c r="A4" s="60" t="str">
        <x:v>Action ID</x:v>
      </x:c>
      <x:c r="B4" s="60" t="str">
        <x:v>Board Action</x:v>
      </x:c>
      <x:c r="C4" s="60" t="str">
        <x:v>Owner</x:v>
      </x:c>
      <x:c r="D4" s="60" t="str">
        <x:v>Due Date</x:v>
      </x:c>
      <x:c r="E4" s="60" t="str">
        <x:v>Priority</x:v>
      </x:c>
      <x:c r="F4" s="60" t="str">
        <x:v>Status</x:v>
      </x:c>
    </x:row>
    <x:row r="5" ht="18" customHeight="1">
      <x:c r="A5" s="78" t="str">
        <x:v>BA-01</x:v>
      </x:c>
      <x:c r="B5" s="78" t="str">
        <x:v>Approve revised frontline sales incentive principles</x:v>
      </x:c>
      <x:c r="C5" s="78" t="str">
        <x:v>Chief Executive Officer</x:v>
      </x:c>
      <x:c r="D5" s="88" t="n">
        <x:v>46053</x:v>
      </x:c>
      <x:c r="E5" s="78" t="str">
        <x:v>High</x:v>
      </x:c>
      <x:c r="F5" s="78" t="str">
        <x:v>Pending Approval</x:v>
      </x:c>
    </x:row>
    <x:row r="6" ht="18" customHeight="1">
      <x:c r="A6" s="78" t="str">
        <x:v>BA-02</x:v>
      </x:c>
      <x:c r="B6" s="78" t="str">
        <x:v>Review technical apprenticeship budget and intake</x:v>
      </x:c>
      <x:c r="C6" s="78" t="str">
        <x:v>Chief Operating Officer</x:v>
      </x:c>
      <x:c r="D6" s="88" t="n">
        <x:v>46068</x:v>
      </x:c>
      <x:c r="E6" s="78" t="str">
        <x:v>High</x:v>
      </x:c>
      <x:c r="F6" s="78" t="str">
        <x:v>Open</x:v>
      </x:c>
    </x:row>
    <x:row r="7" ht="18" customHeight="1">
      <x:c r="A7" s="78" t="str">
        <x:v>BA-03</x:v>
      </x:c>
      <x:c r="B7" s="78" t="str">
        <x:v>Endorse succession coverage target for critical roles</x:v>
      </x:c>
      <x:c r="C7" s="78" t="str">
        <x:v>Board HR Committee</x:v>
      </x:c>
      <x:c r="D7" s="88" t="n">
        <x:v>46081</x:v>
      </x:c>
      <x:c r="E7" s="78" t="str">
        <x:v>High</x:v>
      </x:c>
      <x:c r="F7" s="78" t="str">
        <x:v>Open</x:v>
      </x:c>
    </x:row>
    <x:row r="8" ht="18" customHeight="1">
      <x:c r="A8" s="78" t="str">
        <x:v>BA-04</x:v>
      </x:c>
      <x:c r="B8" s="78" t="str">
        <x:v>Approve women in operations development cohort</x:v>
      </x:c>
      <x:c r="C8" s="78" t="str">
        <x:v>Managing Director</x:v>
      </x:c>
      <x:c r="D8" s="88" t="n">
        <x:v>46096</x:v>
      </x:c>
      <x:c r="E8" s="78" t="str">
        <x:v>Medium</x:v>
      </x:c>
      <x:c r="F8" s="78" t="str">
        <x:v>Open</x:v>
      </x:c>
    </x:row>
    <x:row r="9" ht="18" customHeight="1">
      <x:c r="A9" s="78" t="str">
        <x:v>BA-05</x:v>
      </x:c>
      <x:c r="B9" s="78" t="str">
        <x:v>Review HSE engineering control capital requests</x:v>
      </x:c>
      <x:c r="C9" s="78" t="str">
        <x:v>Board Audit &amp; Risk Committee</x:v>
      </x:c>
      <x:c r="D9" s="88" t="n">
        <x:v>46042</x:v>
      </x:c>
      <x:c r="E9" s="78" t="str">
        <x:v>High</x:v>
      </x:c>
      <x:c r="F9" s="78" t="str">
        <x:v>In Review</x:v>
      </x:c>
    </x:row>
    <x:row r="10" ht="18" customHeight="1">
      <x:c r="A10" s="78" t="str">
        <x:v>BA-06</x:v>
      </x:c>
      <x:c r="B10" s="78" t="str">
        <x:v>Set 2026 engagement and leadership scorecard targets</x:v>
      </x:c>
      <x:c r="C10" s="78" t="str">
        <x:v>Board HR Committee</x:v>
      </x:c>
      <x:c r="D10" s="88" t="n">
        <x:v>46053</x:v>
      </x:c>
      <x:c r="E10" s="78" t="str">
        <x:v>Medium</x:v>
      </x:c>
      <x:c r="F10" s="78" t="str">
        <x:v>Open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f54e93a4752488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HR Board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90" t="str">
        <x:v>Company</x:v>
      </x:c>
      <x:c r="B4" t="str">
        <x:v>Mokhles Group</x:v>
      </x:c>
    </x:row>
    <x:row r="5">
      <x:c r="A5" s="90" t="str">
        <x:v>Country Context</x:v>
      </x:c>
      <x:c r="B5" t="str">
        <x:v>Bangladesh</x:v>
      </x:c>
    </x:row>
    <x:row r="6">
      <x:c r="A6" s="90" t="str">
        <x:v>Reporting Period</x:v>
      </x:c>
      <x:c r="B6" t="str">
        <x:v>1 January–31 December 2025</x:v>
      </x:c>
    </x:row>
    <x:row r="7">
      <x:c r="A7" s="90" t="str">
        <x:v>Currency</x:v>
      </x:c>
      <x:c r="B7" t="str">
        <x:v>Bangladeshi Taka (BDT)</x:v>
      </x:c>
    </x:row>
    <x:row r="8">
      <x:c r="A8" s="90" t="str">
        <x:v>Data Classification</x:v>
      </x:c>
      <x:c r="B8" t="str">
        <x:v>Synthetic / demo data — not real employee information</x:v>
      </x:c>
    </x:row>
    <x:row r="9">
      <x:c r="A9" s="90" t="str">
        <x:v>Portfolio Use</x:v>
      </x:c>
      <x:c r="B9" t="str">
        <x:v>Designed for Kaggle, HR analytics practice, Excel dashboard demonstrations, and interview portfolios</x:v>
      </x:c>
    </x:row>
    <x:row r="10">
      <x:c r="A10" s="9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Critical Vacancy</x:v>
      </x:c>
      <x:c r="B13" s="78" t="str">
        <x:v>Open or on-hold vacancy at Executive level or above that may affect strategic delivery.</x:v>
      </x:c>
    </x:row>
    <x:row r="14" ht="32" customHeight="1">
      <x:c r="A14" s="78" t="str">
        <x:v>Risk Score</x:v>
      </x:c>
      <x:c r="B14" s="78" t="str">
        <x:v>Likelihood score multiplied by impact score on a 1–5 scale.</x:v>
      </x:c>
    </x:row>
    <x:row r="15" ht="32" customHeight="1">
      <x:c r="A15" s="78" t="str">
        <x:v>Quarterly Turnover</x:v>
      </x:c>
      <x:c r="B15" s="78" t="str">
        <x:v>Quarter exits divided by average headcount across the quarter.</x:v>
      </x:c>
    </x:row>
    <x:row r="16" ht="32" customHeight="1">
      <x:c r="A16" s="78" t="str">
        <x:v>Female Representation</x:v>
      </x:c>
      <x:c r="B16" s="78" t="str">
        <x:v>Female employees divided by the relevant workforce segment.</x:v>
      </x:c>
    </x:row>
    <x:row r="17" ht="32" customHeight="1">
      <x:c r="A17" s="78" t="str">
        <x:v>Board Action Tracker</x:v>
      </x:c>
      <x:c r="B17" s="78" t="str">
        <x:v>Synthetic action log for governance and portfolio demonstration.</x:v>
      </x:c>
    </x:row>
  </x:sheetData>
  <x:mergeCells>
    <x:mergeCell ref="A1:F2"/>
  </x:mergeCells>
  <x:pageMargins left="0.7" right="0.7" top="0.75" bottom="0.75" header="0.3" footer="0.3"/>
</x:worksheet>
</file>
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25bb510ea4f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cf754704f174cb5"/>
    <x:sheet xmlns:r="http://schemas.openxmlformats.org/officeDocument/2006/relationships" name="Metrics" sheetId="2" r:id="Rdec3fd1573804f28"/>
    <x:sheet xmlns:r="http://schemas.openxmlformats.org/officeDocument/2006/relationships" name="Monthly Performance" sheetId="3" r:id="R11e0d4534b814705"/>
    <x:sheet xmlns:r="http://schemas.openxmlformats.org/officeDocument/2006/relationships" name="Department Summary" sheetId="4" r:id="Re02b38494ad146e2"/>
    <x:sheet xmlns:r="http://schemas.openxmlformats.org/officeDocument/2006/relationships" name="HR Initiatives" sheetId="5" r:id="Rc128884a600f46ec"/>
    <x:sheet xmlns:r="http://schemas.openxmlformats.org/officeDocument/2006/relationships" name="Notes &amp; Definitions" sheetId="6" r:id="Rf7d121e4dc98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0.0%"/>
    <x:numFmt numFmtId="202" formatCode="#,##0"/>
    <x:numFmt numFmtId="203" formatCode="#,##0 &quot;BDT&quot;"/>
    <x:numFmt numFmtId="204" formatCode="dd-mmm-yyyy"/>
    <x:numFmt numFmtId="205" formatCode="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4"/>
      <x:color rgb="FFF36B21"/>
      <x:name val="Carlito"/>
    </x:font>
    <x:font>
      <x:b/>
      <x:sz val="12"/>
      <x:color rgb="FF24204F"/>
      <x:name val="Carlito"/>
    </x:font>
    <x:font>
      <x:b/>
      <x:sz val="10"/>
      <x:color rgb="FFFFFFFF"/>
      <x:name val="Carlito"/>
    </x:font>
    <x:font>
      <x:b/>
      <x:sz val="18"/>
      <x:color rgb="FF222633"/>
      <x:name val="Carlito"/>
    </x:font>
    <x:font>
      <x:i/>
      <x:sz val="9"/>
      <x:color rgb="FFFFFFFF"/>
      <x:name val="Carlito"/>
    </x:font>
    <x:font>
      <x:b/>
      <x:sz val="16"/>
      <x:color rgb="FFFFFFFF"/>
      <x:name val="Carlito"/>
    </x:font>
    <x:font>
      <x:i/>
      <x:sz val="9"/>
      <x:color rgb="FF24204F"/>
      <x:name val="Carlito"/>
    </x:font>
    <x:font>
      <x:b/>
      <x:sz val="11"/>
      <x:color rgb="FF2420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204F"/>
      </x:patternFill>
    </x:fill>
    <x:fill>
      <x:patternFill patternType="solid">
        <x:fgColor rgb="FFFFFFFF"/>
      </x:patternFill>
    </x:fill>
    <x:fill>
      <x:patternFill patternType="solid">
        <x:fgColor rgb="FF625BEB"/>
      </x:patternFill>
    </x:fill>
    <x:fill>
      <x:patternFill patternType="solid">
        <x:fgColor rgb="FFFFF1E8"/>
      </x:patternFill>
    </x:fill>
    <x:fill>
      <x:patternFill patternType="solid">
        <x:fgColor rgb="FFEEEFFD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2" fontId="5" fillId="5" borderId="0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203" fontId="5" fillId="6" borderId="0" xfId="0" applyNumberFormat="1" applyFont="1" applyFill="1" applyBorder="1" applyAlignment="1">
      <x:alignment horizontal="center" vertical="center"/>
    </x:xf>
    <x:xf numFmtId="203" fontId="5" fillId="6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0" fontId="9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80b7bc6a344464" /><Relationship Type="http://schemas.openxmlformats.org/officeDocument/2006/relationships/theme" Target="/xl/theme/theme1.xml" Id="Rcac8669e96e24f11" /><Relationship Type="http://schemas.openxmlformats.org/officeDocument/2006/relationships/sharedStrings" Target="/xl/sharedStrings.xml" Id="R8eb5be4a3bdc40f4" /><Relationship Type="http://schemas.openxmlformats.org/officeDocument/2006/relationships/worksheet" Target="/xl/worksheets/sheet1.xml" Id="Rbcf754704f174cb5" /><Relationship Type="http://schemas.openxmlformats.org/officeDocument/2006/relationships/worksheet" Target="/xl/worksheets/sheet2.xml" Id="Rdec3fd1573804f28" /><Relationship Type="http://schemas.openxmlformats.org/officeDocument/2006/relationships/worksheet" Target="/xl/worksheets/sheet3.xml" Id="R11e0d4534b814705" /><Relationship Type="http://schemas.openxmlformats.org/officeDocument/2006/relationships/worksheet" Target="/xl/worksheets/sheet4.xml" Id="Re02b38494ad146e2" /><Relationship Type="http://schemas.openxmlformats.org/officeDocument/2006/relationships/worksheet" Target="/xl/worksheets/sheet5.xml" Id="Rc128884a600f46ec" /><Relationship Type="http://schemas.openxmlformats.org/officeDocument/2006/relationships/worksheet" Target="/xl/worksheets/sheet6.xml" Id="Rf7d121e4dc9842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c30a9777b042c0" /><Relationship Type="http://schemas.openxmlformats.org/officeDocument/2006/relationships/chart" Target="/xl/drawings/charts/chart2.xml" Id="Rc9432f566afe449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Departmental Workforce Size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Closing HC</c:v>
          </c:tx>
          <c:cat>
            <c:strRef>
              <c:f>'Dashboard'!$A$12:$A$23</c:f>
              <c:strCache>
                <c:ptCount val="0"/>
              </c:strCache>
            </c:strRef>
          </c:cat>
          <c:val>
            <c:numRef>
              <c:f>'Dashboard'!$B$12:$B$23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Hiring and Exit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Hires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'Dashboard'!$B$28:$B$39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Exits</c:v>
          </c:tx>
          <c:cat>
            <c:strRef>
              <c:f>'Dashboard'!$A$28:$A$39</c:f>
              <c:strCache>
                <c:ptCount val="0"/>
              </c:strCache>
            </c:strRef>
          </c:cat>
          <c:val>
            <c:numRef>
              <c:f>'Dashboard'!$C$28:$C$39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c30a9777b042c0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432f566afe449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nualMonthlyKPI" displayName="AnnualMonthlyKPI" ref="A4:O16" headerRowCount="1">
  <x:tableColumns count="15">
    <x:tableColumn id="1" name="Month"/>
    <x:tableColumn id="2" name="Opening Headcount"/>
    <x:tableColumn id="3" name="Hires"/>
    <x:tableColumn id="4" name="Exits"/>
    <x:tableColumn id="5" name="Closing Headcount"/>
    <x:tableColumn id="6" name="Average Headcount"/>
    <x:tableColumn id="7" name="Turnover Rate"/>
    <x:tableColumn id="8" name="Approved Absence Days"/>
    <x:tableColumn id="9" name="Absence Rate"/>
    <x:tableColumn id="10" name="Overtime Hours"/>
    <x:tableColumn id="11" name="Training Hours"/>
    <x:tableColumn id="12" name="Payroll Cost (BDT)"/>
    <x:tableColumn id="13" name="Open Vacancies"/>
    <x:tableColumn id="14" name="Average Time to Fill (Days)"/>
    <x:tableColumn id="15" name="Engagement Pulse (1-5)"/>
  </x:tableColumns>
  <x:tableStyleInfo name="TableStyleMedium2" showRowStripes="1"/>
</x:table>
</file>

<file path=xl/tables/table2.xml><?xml version="1.0" encoding="utf-8"?>
<x:table xmlns:x="http://schemas.openxmlformats.org/spreadsheetml/2006/main" id="2" name="AnnualDepartmentSummary" displayName="AnnualDepartmentSummary" ref="A4:J16" headerRowCount="1">
  <x:tableColumns count="10">
    <x:tableColumn id="1" name="Department"/>
    <x:tableColumn id="2" name="Opening Headcount"/>
    <x:tableColumn id="3" name="Hires"/>
    <x:tableColumn id="4" name="Exits"/>
    <x:tableColumn id="5" name="Closing Headcount"/>
    <x:tableColumn id="6" name="Average Headcount"/>
    <x:tableColumn id="7" name="Turnover Rate"/>
    <x:tableColumn id="8" name="Approved Absence Days"/>
    <x:tableColumn id="9" name="Training Hours"/>
    <x:tableColumn id="10" name="Average Performance Score"/>
  </x:tableColumns>
  <x:tableStyleInfo name="TableStyleMedium2" showRowStripes="1"/>
</x:table>
</file>

<file path=xl/tables/table3.xml><?xml version="1.0" encoding="utf-8"?>
<x:table xmlns:x="http://schemas.openxmlformats.org/spreadsheetml/2006/main" id="3" name="AnnualHRInitiatives" displayName="AnnualHRInitiatives" ref="A4:H12" headerRowCount="1">
  <x:tableColumns count="8">
    <x:tableColumn id="1" name="Initiative ID"/>
    <x:tableColumn id="2" name="Initiative"/>
    <x:tableColumn id="3" name="Strategic Theme"/>
    <x:tableColumn id="4" name="Owner"/>
    <x:tableColumn id="5" name="Start Date"/>
    <x:tableColumn id="6" name="Target Date"/>
    <x:tableColumn id="7" name="Status"/>
    <x:tableColumn id="8" name="Outco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5ccff08d9b442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4e6ed3abd0c4d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39392d56cd24d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d7ee6f86ef148a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1" t="str">
        <x:v>ANNUAL HR REPORT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8" t="str">
        <x:v>Mokhles Group — executive review of workforce, talent, cost and people outcomes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</x:row>
    <x:row r="4" ht="6" customHeight="1">
      <x:c r="A4" s="22"/>
      <x:c r="B4" s="22"/>
      <x:c r="C4" s="22"/>
      <x:c r="D4" s="22"/>
      <x:c r="E4" s="22"/>
      <x:c r="F4" s="22"/>
      <x:c r="G4" s="22"/>
      <x:c r="H4" s="22"/>
      <x:c r="I4" s="22"/>
      <x:c r="J4" s="22"/>
      <x:c r="K4" s="22"/>
      <x:c r="L4" s="22"/>
    </x:row>
    <x:row r="6" ht="23" customHeight="1">
      <x:c r="A6" s="26" t="str">
        <x:v>Year-End Headcount</x:v>
      </x:c>
      <x:c r="B6" s="26"/>
      <x:c r="C6" s="26"/>
      <x:c r="D6" s="26" t="str">
        <x:v>Annual Turnover</x:v>
      </x:c>
      <x:c r="E6" s="26"/>
      <x:c r="F6" s="26"/>
      <x:c r="G6" s="26" t="str">
        <x:v>Completed Training Hours</x:v>
      </x:c>
      <x:c r="H6" s="26"/>
      <x:c r="I6" s="26"/>
      <x:c r="J6" s="26" t="str">
        <x:v>Annual Payroll Cost</x:v>
      </x:c>
      <x:c r="K6" s="26"/>
      <x:c r="L6" s="26"/>
    </x:row>
    <x:row r="7">
      <x:c r="A7" s="38" t="n">
        <x:f>Metrics!B2</x:f>
        <x:v>456</x:v>
      </x:c>
      <x:c r="B7" s="38"/>
      <x:c r="C7" s="38"/>
      <x:c r="D7" s="48" t="n">
        <x:f>Metrics!B3</x:f>
        <x:v>0.13867576015913613</x:v>
      </x:c>
      <x:c r="E7" s="48"/>
      <x:c r="F7" s="48"/>
      <x:c r="G7" s="50" t="n">
        <x:f>Metrics!B4</x:f>
        <x:v>7627</x:v>
      </x:c>
      <x:c r="H7" s="50"/>
      <x:c r="I7" s="50"/>
      <x:c r="J7" s="52" t="n">
        <x:f>Metrics!B5</x:f>
        <x:v>382114500</x:v>
      </x:c>
      <x:c r="K7" s="52"/>
      <x:c r="L7" s="52"/>
    </x:row>
    <x:row r="8">
      <x:c r="A8" s="38"/>
      <x:c r="B8" s="38"/>
      <x:c r="C8" s="38"/>
      <x:c r="D8" s="48"/>
      <x:c r="E8" s="48"/>
      <x:c r="F8" s="48"/>
      <x:c r="G8" s="50"/>
      <x:c r="H8" s="50"/>
      <x:c r="I8" s="50"/>
      <x:c r="J8" s="52"/>
      <x:c r="K8" s="52"/>
      <x:c r="L8" s="52"/>
    </x:row>
    <x:row r="10" ht="24" customHeight="1">
      <x:c r="A10" s="55" t="str">
        <x:v>Year-End Headcount by Department</x:v>
      </x:c>
      <x:c r="B10" s="55"/>
      <x:c r="C10" s="55"/>
      <x:c r="D10" s="55"/>
      <x:c r="E10" s="55"/>
      <x:c r="F10" s="55"/>
    </x:row>
    <x:row r="11" ht="28" customHeight="1">
      <x:c r="A11" s="60" t="str">
        <x:v>Department</x:v>
      </x:c>
      <x:c r="B11" s="60" t="str">
        <x:v>Closing HC</x:v>
      </x:c>
    </x:row>
    <x:row r="12">
      <x:c r="A12" t="str">
        <x:v>Production</x:v>
      </x:c>
      <x:c r="B12" t="n">
        <x:v>115</x:v>
      </x:c>
    </x:row>
    <x:row r="13">
      <x:c r="A13" t="str">
        <x:v>Sales &amp; Marketing</x:v>
      </x:c>
      <x:c r="B13" t="n">
        <x:v>83</x:v>
      </x:c>
    </x:row>
    <x:row r="14">
      <x:c r="A14" t="str">
        <x:v>Supply Chain &amp; Logistics</x:v>
      </x:c>
      <x:c r="B14" t="n">
        <x:v>49</x:v>
      </x:c>
    </x:row>
    <x:row r="15">
      <x:c r="A15" t="str">
        <x:v>Finance &amp; Accounts</x:v>
      </x:c>
      <x:c r="B15" t="n">
        <x:v>38</x:v>
      </x:c>
    </x:row>
    <x:row r="16">
      <x:c r="A16" t="str">
        <x:v>Quality Assurance</x:v>
      </x:c>
      <x:c r="B16" t="n">
        <x:v>35</x:v>
      </x:c>
    </x:row>
    <x:row r="17">
      <x:c r="A17" t="str">
        <x:v>Engineering &amp; Maintenance</x:v>
      </x:c>
      <x:c r="B17" t="n">
        <x:v>31</x:v>
      </x:c>
    </x:row>
    <x:row r="18">
      <x:c r="A18" t="str">
        <x:v>HR &amp; Administration</x:v>
      </x:c>
      <x:c r="B18" t="n">
        <x:v>30</x:v>
      </x:c>
    </x:row>
    <x:row r="19">
      <x:c r="A19" t="str">
        <x:v>Corporate Strategy</x:v>
      </x:c>
      <x:c r="B19" t="n">
        <x:v>24</x:v>
      </x:c>
    </x:row>
    <x:row r="20">
      <x:c r="A20" t="str">
        <x:v>Customer Service</x:v>
      </x:c>
      <x:c r="B20" t="n">
        <x:v>18</x:v>
      </x:c>
    </x:row>
    <x:row r="21">
      <x:c r="A21" t="str">
        <x:v>Procurement</x:v>
      </x:c>
      <x:c r="B21" t="n">
        <x:v>14</x:v>
      </x:c>
    </x:row>
    <x:row r="22">
      <x:c r="A22" t="str">
        <x:v>Information Technology</x:v>
      </x:c>
      <x:c r="B22" t="n">
        <x:v>12</x:v>
      </x:c>
    </x:row>
    <x:row r="23">
      <x:c r="A23" t="str">
        <x:v>Legal &amp; Compliance</x:v>
      </x:c>
      <x:c r="B23" t="n">
        <x:v>7</x:v>
      </x:c>
    </x:row>
    <x:row r="26" ht="24" customHeight="1">
      <x:c r="A26" s="55" t="str">
        <x:v>Monthly Workforce Movement</x:v>
      </x:c>
      <x:c r="B26" s="55"/>
      <x:c r="C26" s="55"/>
      <x:c r="D26" s="55"/>
      <x:c r="E26" s="55"/>
      <x:c r="F26" s="55"/>
    </x:row>
    <x:row r="27" ht="28" customHeight="1">
      <x:c r="A27" s="60" t="str">
        <x:v>Month</x:v>
      </x:c>
      <x:c r="B27" s="60" t="str">
        <x:v>Hires</x:v>
      </x:c>
      <x:c r="C27" s="60" t="str">
        <x:v>Exits</x:v>
      </x:c>
    </x:row>
    <x:row r="28">
      <x:c r="A28" t="str">
        <x:v>Jan</x:v>
      </x:c>
      <x:c r="B28" t="n">
        <x:v>9</x:v>
      </x:c>
      <x:c r="C28" t="n">
        <x:v>5</x:v>
      </x:c>
    </x:row>
    <x:row r="29">
      <x:c r="A29" t="str">
        <x:v>Feb</x:v>
      </x:c>
      <x:c r="B29" t="n">
        <x:v>10</x:v>
      </x:c>
      <x:c r="C29" t="n">
        <x:v>5</x:v>
      </x:c>
    </x:row>
    <x:row r="30">
      <x:c r="A30" t="str">
        <x:v>Mar</x:v>
      </x:c>
      <x:c r="B30" t="n">
        <x:v>5</x:v>
      </x:c>
      <x:c r="C30" t="n">
        <x:v>6</x:v>
      </x:c>
    </x:row>
    <x:row r="31">
      <x:c r="A31" t="str">
        <x:v>Apr</x:v>
      </x:c>
      <x:c r="B31" t="n">
        <x:v>7</x:v>
      </x:c>
      <x:c r="C31" t="n">
        <x:v>5</x:v>
      </x:c>
    </x:row>
    <x:row r="32">
      <x:c r="A32" t="str">
        <x:v>May</x:v>
      </x:c>
      <x:c r="B32" t="n">
        <x:v>10</x:v>
      </x:c>
      <x:c r="C32" t="n">
        <x:v>1</x:v>
      </x:c>
    </x:row>
    <x:row r="33">
      <x:c r="A33" t="str">
        <x:v>Jun</x:v>
      </x:c>
      <x:c r="B33" t="n">
        <x:v>4</x:v>
      </x:c>
      <x:c r="C33" t="n">
        <x:v>6</x:v>
      </x:c>
    </x:row>
    <x:row r="34">
      <x:c r="A34" t="str">
        <x:v>Jul</x:v>
      </x:c>
      <x:c r="B34" t="n">
        <x:v>12</x:v>
      </x:c>
      <x:c r="C34" t="n">
        <x:v>3</x:v>
      </x:c>
    </x:row>
    <x:row r="35">
      <x:c r="A35" t="str">
        <x:v>Aug</x:v>
      </x:c>
      <x:c r="B35" t="n">
        <x:v>12</x:v>
      </x:c>
      <x:c r="C35" t="n">
        <x:v>7</x:v>
      </x:c>
    </x:row>
    <x:row r="36">
      <x:c r="A36" t="str">
        <x:v>Sep</x:v>
      </x:c>
      <x:c r="B36" t="n">
        <x:v>5</x:v>
      </x:c>
      <x:c r="C36" t="n">
        <x:v>3</x:v>
      </x:c>
    </x:row>
    <x:row r="37">
      <x:c r="A37" t="str">
        <x:v>Oct</x:v>
      </x:c>
      <x:c r="B37" t="n">
        <x:v>6</x:v>
      </x:c>
      <x:c r="C37" t="n">
        <x:v>7</x:v>
      </x:c>
    </x:row>
    <x:row r="38">
      <x:c r="A38" t="str">
        <x:v>Nov</x:v>
      </x:c>
      <x:c r="B38" t="n">
        <x:v>5</x:v>
      </x:c>
      <x:c r="C38" t="n">
        <x:v>6</x:v>
      </x:c>
    </x:row>
    <x:row r="39">
      <x:c r="A39" t="str">
        <x:v>Dec</x:v>
      </x:c>
      <x:c r="B39" t="n">
        <x:v>11</x:v>
      </x:c>
      <x:c r="C39" t="n">
        <x:v>6</x:v>
      </x:c>
    </x:row>
    <x:row r="42" ht="20" customHeight="1">
      <x:c r="A42" s="65" t="str">
        <x:v>Mokhles Group | Bangladesh | FY2025 | Synthetic demo data for learning and portfolio use</x:v>
      </x:c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</x:row>
  </x:sheetData>
  <x:mergeCells>
    <x:mergeCell ref="A1:L2"/>
    <x:mergeCell ref="A3:L3"/>
    <x:mergeCell ref="A6:C6"/>
    <x:mergeCell ref="A7:C8"/>
    <x:mergeCell ref="D6:F6"/>
    <x:mergeCell ref="D7:F8"/>
    <x:mergeCell ref="G6:I6"/>
    <x:mergeCell ref="G7:I8"/>
    <x:mergeCell ref="J6:L6"/>
    <x:mergeCell ref="J7:L8"/>
    <x:mergeCell ref="A10:F10"/>
    <x:mergeCell ref="A26:F26"/>
    <x:mergeCell ref="A42:L42"/>
  </x:mergeCells>
  <x:pageMargins left="0.7" right="0.7" top="0.75" bottom="0.75" header="0.3" footer="0.3"/>
  <x:drawing xmlns:r="http://schemas.openxmlformats.org/officeDocument/2006/relationships" r:id="R735ccff08d9b4428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</x:cols>
  <x:sheetData>
    <x:row r="1">
      <x:c r="A1" s="4" t="str">
        <x:v>Metric</x:v>
      </x:c>
      <x:c r="B1" s="4" t="str">
        <x:v>Value</x:v>
      </x:c>
      <x:c r="C1" s="4" t="str">
        <x:v>Display Format</x:v>
      </x:c>
    </x:row>
    <x:row r="2">
      <x:c r="A2" t="str">
        <x:v>Year-End Headcount</x:v>
      </x:c>
      <x:c r="B2" t="n">
        <x:v>456</x:v>
      </x:c>
      <x:c r="C2" t="str">
        <x:v>0</x:v>
      </x:c>
    </x:row>
    <x:row r="3">
      <x:c r="A3" t="str">
        <x:v>Annual Turnover</x:v>
      </x:c>
      <x:c r="B3" t="n">
        <x:v>0.13867576015913613</x:v>
      </x:c>
      <x:c r="C3" t="str">
        <x:v>0.0%</x:v>
      </x:c>
    </x:row>
    <x:row r="4">
      <x:c r="A4" t="str">
        <x:v>Completed Training Hours</x:v>
      </x:c>
      <x:c r="B4" t="n">
        <x:v>7627</x:v>
      </x:c>
      <x:c r="C4" t="str">
        <x:v>#,##0</x:v>
      </x:c>
    </x:row>
    <x:row r="5">
      <x:c r="A5" t="str">
        <x:v>Annual Payroll Cost</x:v>
      </x:c>
      <x:c r="B5" t="n">
        <x:v>382114500</x:v>
      </x:c>
      <x:c r="C5" t="str">
        <x:v>#,##0 "BDT"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>
      <x:c r="A1" s="70" t="str">
        <x:v>Annual HR Report — Monthly KPI Series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  <x:c r="O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</x:row>
    <x:row r="4" ht="28" customHeight="1">
      <x:c r="A4" s="60" t="str">
        <x:v>Month</x:v>
      </x:c>
      <x:c r="B4" s="60" t="str">
        <x:v>Opening Headcount</x:v>
      </x:c>
      <x:c r="C4" s="60" t="str">
        <x:v>Hires</x:v>
      </x:c>
      <x:c r="D4" s="60" t="str">
        <x:v>Exits</x:v>
      </x:c>
      <x:c r="E4" s="60" t="str">
        <x:v>Closing Headcount</x:v>
      </x:c>
      <x:c r="F4" s="60" t="str">
        <x:v>Average Headcount</x:v>
      </x:c>
      <x:c r="G4" s="60" t="str">
        <x:v>Turnover Rate</x:v>
      </x:c>
      <x:c r="H4" s="60" t="str">
        <x:v>Approved Absence Days</x:v>
      </x:c>
      <x:c r="I4" s="60" t="str">
        <x:v>Absence Rate</x:v>
      </x:c>
      <x:c r="J4" s="60" t="str">
        <x:v>Overtime Hours</x:v>
      </x:c>
      <x:c r="K4" s="60" t="str">
        <x:v>Training Hours</x:v>
      </x:c>
      <x:c r="L4" s="60" t="str">
        <x:v>Payroll Cost (BDT)</x:v>
      </x:c>
      <x:c r="M4" s="60" t="str">
        <x:v>Open Vacancies</x:v>
      </x:c>
      <x:c r="N4" s="60" t="str">
        <x:v>Average Time to Fill (Days)</x:v>
      </x:c>
      <x:c r="O4" s="60" t="str">
        <x:v>Engagement Pulse (1-5)</x:v>
      </x:c>
    </x:row>
    <x:row r="5" ht="18" customHeight="1">
      <x:c r="A5" s="80" t="n">
        <x:v>45658</x:v>
      </x:c>
      <x:c r="B5" s="78" t="n">
        <x:v>421</x:v>
      </x:c>
      <x:c r="C5" s="78" t="n">
        <x:v>9</x:v>
      </x:c>
      <x:c r="D5" s="78" t="n">
        <x:v>5</x:v>
      </x:c>
      <x:c r="E5" s="78" t="n">
        <x:v>424</x:v>
      </x:c>
      <x:c r="F5" s="86" t="n">
        <x:v>422.5</x:v>
      </x:c>
      <x:c r="G5" s="82" t="n">
        <x:v>0.011834319526627219</x:v>
      </x:c>
      <x:c r="H5" s="78" t="n">
        <x:v>295</x:v>
      </x:c>
      <x:c r="I5" s="82" t="n">
        <x:v>0.030357602263956777</x:v>
      </x:c>
      <x:c r="J5" s="78" t="n">
        <x:v>2509</x:v>
      </x:c>
      <x:c r="K5" s="78" t="n">
        <x:v>362</x:v>
      </x:c>
      <x:c r="L5" s="84" t="n">
        <x:v>30870500</x:v>
      </x:c>
      <x:c r="M5" s="78" t="n">
        <x:v>0</x:v>
      </x:c>
      <x:c r="N5" s="86" t="n">
        <x:v>29.2</x:v>
      </x:c>
      <x:c r="O5" s="86" t="n">
        <x:v>3.85</x:v>
      </x:c>
    </x:row>
    <x:row r="6" ht="18" customHeight="1">
      <x:c r="A6" s="80" t="n">
        <x:v>45689</x:v>
      </x:c>
      <x:c r="B6" s="78" t="n">
        <x:v>424</x:v>
      </x:c>
      <x:c r="C6" s="78" t="n">
        <x:v>10</x:v>
      </x:c>
      <x:c r="D6" s="78" t="n">
        <x:v>5</x:v>
      </x:c>
      <x:c r="E6" s="78" t="n">
        <x:v>429</x:v>
      </x:c>
      <x:c r="F6" s="86" t="n">
        <x:v>426.5</x:v>
      </x:c>
      <x:c r="G6" s="82" t="n">
        <x:v>0.011723329425556858</x:v>
      </x:c>
      <x:c r="H6" s="78" t="n">
        <x:v>336</x:v>
      </x:c>
      <x:c r="I6" s="82" t="n">
        <x:v>0.03939038686987104</x:v>
      </x:c>
      <x:c r="J6" s="78" t="n">
        <x:v>3392</x:v>
      </x:c>
      <x:c r="K6" s="78" t="n">
        <x:v>354</x:v>
      </x:c>
      <x:c r="L6" s="84" t="n">
        <x:v>31377500</x:v>
      </x:c>
      <x:c r="M6" s="78" t="n">
        <x:v>0</x:v>
      </x:c>
      <x:c r="N6" s="86" t="n">
        <x:v>44.2</x:v>
      </x:c>
      <x:c r="O6" s="86" t="n">
        <x:v>4.04</x:v>
      </x:c>
    </x:row>
    <x:row r="7" ht="18" customHeight="1">
      <x:c r="A7" s="80" t="n">
        <x:v>45717</x:v>
      </x:c>
      <x:c r="B7" s="78" t="n">
        <x:v>429</x:v>
      </x:c>
      <x:c r="C7" s="78" t="n">
        <x:v>5</x:v>
      </x:c>
      <x:c r="D7" s="78" t="n">
        <x:v>6</x:v>
      </x:c>
      <x:c r="E7" s="78" t="n">
        <x:v>428</x:v>
      </x:c>
      <x:c r="F7" s="86" t="n">
        <x:v>428.5</x:v>
      </x:c>
      <x:c r="G7" s="82" t="n">
        <x:v>0.014002333722287048</x:v>
      </x:c>
      <x:c r="H7" s="78" t="n">
        <x:v>219</x:v>
      </x:c>
      <x:c r="I7" s="82" t="n">
        <x:v>0.022221094820151183</x:v>
      </x:c>
      <x:c r="J7" s="78" t="n">
        <x:v>3729</x:v>
      </x:c>
      <x:c r="K7" s="78" t="n">
        <x:v>1052</x:v>
      </x:c>
      <x:c r="L7" s="84" t="n">
        <x:v>31217000</x:v>
      </x:c>
      <x:c r="M7" s="78" t="n">
        <x:v>0</x:v>
      </x:c>
      <x:c r="N7" s="86" t="n">
        <x:v>40.9</x:v>
      </x:c>
      <x:c r="O7" s="86" t="n">
        <x:v>4.09</x:v>
      </x:c>
    </x:row>
    <x:row r="8" ht="18" customHeight="1">
      <x:c r="A8" s="80" t="n">
        <x:v>45748</x:v>
      </x:c>
      <x:c r="B8" s="78" t="n">
        <x:v>428</x:v>
      </x:c>
      <x:c r="C8" s="78" t="n">
        <x:v>7</x:v>
      </x:c>
      <x:c r="D8" s="78" t="n">
        <x:v>5</x:v>
      </x:c>
      <x:c r="E8" s="78" t="n">
        <x:v>430</x:v>
      </x:c>
      <x:c r="F8" s="86" t="n">
        <x:v>429</x:v>
      </x:c>
      <x:c r="G8" s="82" t="n">
        <x:v>0.011655011655011656</x:v>
      </x:c>
      <x:c r="H8" s="78" t="n">
        <x:v>211</x:v>
      </x:c>
      <x:c r="I8" s="82" t="n">
        <x:v>0.02235643144734054</x:v>
      </x:c>
      <x:c r="J8" s="78" t="n">
        <x:v>4273</x:v>
      </x:c>
      <x:c r="K8" s="78" t="n">
        <x:v>1464</x:v>
      </x:c>
      <x:c r="L8" s="84" t="n">
        <x:v>31264500</x:v>
      </x:c>
      <x:c r="M8" s="78" t="n">
        <x:v>0</x:v>
      </x:c>
      <x:c r="N8" s="86" t="n">
        <x:v>34.4</x:v>
      </x:c>
      <x:c r="O8" s="86" t="n">
        <x:v>3.99</x:v>
      </x:c>
    </x:row>
    <x:row r="9" ht="18" customHeight="1">
      <x:c r="A9" s="80" t="n">
        <x:v>45778</x:v>
      </x:c>
      <x:c r="B9" s="78" t="n">
        <x:v>430</x:v>
      </x:c>
      <x:c r="C9" s="78" t="n">
        <x:v>10</x:v>
      </x:c>
      <x:c r="D9" s="78" t="n">
        <x:v>1</x:v>
      </x:c>
      <x:c r="E9" s="78" t="n">
        <x:v>439</x:v>
      </x:c>
      <x:c r="F9" s="86" t="n">
        <x:v>434.5</x:v>
      </x:c>
      <x:c r="G9" s="82" t="n">
        <x:v>0.0023014959723820483</x:v>
      </x:c>
      <x:c r="H9" s="78" t="n">
        <x:v>450</x:v>
      </x:c>
      <x:c r="I9" s="82" t="n">
        <x:v>0.04502926902486616</x:v>
      </x:c>
      <x:c r="J9" s="78" t="n">
        <x:v>3298</x:v>
      </x:c>
      <x:c r="K9" s="78" t="n">
        <x:v>252</x:v>
      </x:c>
      <x:c r="L9" s="84" t="n">
        <x:v>31644500</x:v>
      </x:c>
      <x:c r="M9" s="78" t="n">
        <x:v>0</x:v>
      </x:c>
      <x:c r="N9" s="86" t="n">
        <x:v>37.4</x:v>
      </x:c>
      <x:c r="O9" s="86" t="n">
        <x:v>4.15</x:v>
      </x:c>
    </x:row>
    <x:row r="10" ht="18" customHeight="1">
      <x:c r="A10" s="80" t="n">
        <x:v>45809</x:v>
      </x:c>
      <x:c r="B10" s="78" t="n">
        <x:v>439</x:v>
      </x:c>
      <x:c r="C10" s="78" t="n">
        <x:v>4</x:v>
      </x:c>
      <x:c r="D10" s="78" t="n">
        <x:v>6</x:v>
      </x:c>
      <x:c r="E10" s="78" t="n">
        <x:v>437</x:v>
      </x:c>
      <x:c r="F10" s="86" t="n">
        <x:v>438</x:v>
      </x:c>
      <x:c r="G10" s="82" t="n">
        <x:v>0.0136986301369863</x:v>
      </x:c>
      <x:c r="H10" s="78" t="n">
        <x:v>398</x:v>
      </x:c>
      <x:c r="I10" s="82" t="n">
        <x:v>0.041303445413034455</x:v>
      </x:c>
      <x:c r="J10" s="78" t="n">
        <x:v>3622</x:v>
      </x:c>
      <x:c r="K10" s="78" t="n">
        <x:v>444</x:v>
      </x:c>
      <x:c r="L10" s="84" t="n">
        <x:v>31611500</x:v>
      </x:c>
      <x:c r="M10" s="78" t="n">
        <x:v>0</x:v>
      </x:c>
      <x:c r="N10" s="86" t="n">
        <x:v>40.3</x:v>
      </x:c>
      <x:c r="O10" s="86" t="n">
        <x:v>4.14</x:v>
      </x:c>
    </x:row>
    <x:row r="11" ht="18" customHeight="1">
      <x:c r="A11" s="80" t="n">
        <x:v>45839</x:v>
      </x:c>
      <x:c r="B11" s="78" t="n">
        <x:v>437</x:v>
      </x:c>
      <x:c r="C11" s="78" t="n">
        <x:v>12</x:v>
      </x:c>
      <x:c r="D11" s="78" t="n">
        <x:v>3</x:v>
      </x:c>
      <x:c r="E11" s="78" t="n">
        <x:v>446</x:v>
      </x:c>
      <x:c r="F11" s="86" t="n">
        <x:v>441.5</x:v>
      </x:c>
      <x:c r="G11" s="82" t="n">
        <x:v>0.006795016987542469</x:v>
      </x:c>
      <x:c r="H11" s="78" t="n">
        <x:v>334</x:v>
      </x:c>
      <x:c r="I11" s="82" t="n">
        <x:v>0.03289182135998818</x:v>
      </x:c>
      <x:c r="J11" s="78" t="n">
        <x:v>2925</x:v>
      </x:c>
      <x:c r="K11" s="78" t="n">
        <x:v>1006</x:v>
      </x:c>
      <x:c r="L11" s="84" t="n">
        <x:v>32292500</x:v>
      </x:c>
      <x:c r="M11" s="78" t="n">
        <x:v>0</x:v>
      </x:c>
      <x:c r="N11" s="86" t="n">
        <x:v>41.9</x:v>
      </x:c>
      <x:c r="O11" s="86" t="n">
        <x:v>4.11</x:v>
      </x:c>
    </x:row>
    <x:row r="12" ht="18" customHeight="1">
      <x:c r="A12" s="80" t="n">
        <x:v>45870</x:v>
      </x:c>
      <x:c r="B12" s="78" t="n">
        <x:v>445</x:v>
      </x:c>
      <x:c r="C12" s="78" t="n">
        <x:v>12</x:v>
      </x:c>
      <x:c r="D12" s="78" t="n">
        <x:v>7</x:v>
      </x:c>
      <x:c r="E12" s="78" t="n">
        <x:v>451</x:v>
      </x:c>
      <x:c r="F12" s="86" t="n">
        <x:v>448</x:v>
      </x:c>
      <x:c r="G12" s="82" t="n">
        <x:v>0.015625</x:v>
      </x:c>
      <x:c r="H12" s="78" t="n">
        <x:v>679</x:v>
      </x:c>
      <x:c r="I12" s="82" t="n">
        <x:v>0.06589673913043478</x:v>
      </x:c>
      <x:c r="J12" s="78" t="n">
        <x:v>2974</x:v>
      </x:c>
      <x:c r="K12" s="78" t="n">
        <x:v>1372</x:v>
      </x:c>
      <x:c r="L12" s="84" t="n">
        <x:v>32462000</x:v>
      </x:c>
      <x:c r="M12" s="78" t="n">
        <x:v>0</x:v>
      </x:c>
      <x:c r="N12" s="86" t="n">
        <x:v>36.9</x:v>
      </x:c>
      <x:c r="O12" s="86" t="n">
        <x:v>4.02</x:v>
      </x:c>
    </x:row>
    <x:row r="13" ht="18" customHeight="1">
      <x:c r="A13" s="80" t="n">
        <x:v>45901</x:v>
      </x:c>
      <x:c r="B13" s="78" t="n">
        <x:v>451</x:v>
      </x:c>
      <x:c r="C13" s="78" t="n">
        <x:v>5</x:v>
      </x:c>
      <x:c r="D13" s="78" t="n">
        <x:v>3</x:v>
      </x:c>
      <x:c r="E13" s="78" t="n">
        <x:v>453</x:v>
      </x:c>
      <x:c r="F13" s="86" t="n">
        <x:v>452</x:v>
      </x:c>
      <x:c r="G13" s="82" t="n">
        <x:v>0.00663716814159292</x:v>
      </x:c>
      <x:c r="H13" s="78" t="n">
        <x:v>255</x:v>
      </x:c>
      <x:c r="I13" s="82" t="n">
        <x:v>0.025643604183427194</x:v>
      </x:c>
      <x:c r="J13" s="78" t="n">
        <x:v>3300</x:v>
      </x:c>
      <x:c r="K13" s="78" t="n">
        <x:v>760</x:v>
      </x:c>
      <x:c r="L13" s="84" t="n">
        <x:v>32557000</x:v>
      </x:c>
      <x:c r="M13" s="78" t="n">
        <x:v>0</x:v>
      </x:c>
      <x:c r="N13" s="86" t="n">
        <x:v>33.2</x:v>
      </x:c>
      <x:c r="O13" s="86" t="n">
        <x:v>3.96</x:v>
      </x:c>
    </x:row>
    <x:row r="14" ht="18" customHeight="1">
      <x:c r="A14" s="80" t="n">
        <x:v>45931</x:v>
      </x:c>
      <x:c r="B14" s="78" t="n">
        <x:v>453</x:v>
      </x:c>
      <x:c r="C14" s="78" t="n">
        <x:v>6</x:v>
      </x:c>
      <x:c r="D14" s="78" t="n">
        <x:v>7</x:v>
      </x:c>
      <x:c r="E14" s="78" t="n">
        <x:v>452</x:v>
      </x:c>
      <x:c r="F14" s="86" t="n">
        <x:v>452.5</x:v>
      </x:c>
      <x:c r="G14" s="82" t="n">
        <x:v>0.015469613259668509</x:v>
      </x:c>
      <x:c r="H14" s="78" t="n">
        <x:v>250</x:v>
      </x:c>
      <x:c r="I14" s="82" t="n">
        <x:v>0.024021138601969732</x:v>
      </x:c>
      <x:c r="J14" s="78" t="n">
        <x:v>2896</x:v>
      </x:c>
      <x:c r="K14" s="78" t="n">
        <x:v>216</x:v>
      </x:c>
      <x:c r="L14" s="84" t="n">
        <x:v>32488000</x:v>
      </x:c>
      <x:c r="M14" s="78" t="n">
        <x:v>10</x:v>
      </x:c>
      <x:c r="N14" s="86" t="n">
        <x:v>39.6</x:v>
      </x:c>
      <x:c r="O14" s="86" t="n">
        <x:v>3.96</x:v>
      </x:c>
    </x:row>
    <x:row r="15" ht="18" customHeight="1">
      <x:c r="A15" s="80" t="n">
        <x:v>45962</x:v>
      </x:c>
      <x:c r="B15" s="78" t="n">
        <x:v>453</x:v>
      </x:c>
      <x:c r="C15" s="78" t="n">
        <x:v>5</x:v>
      </x:c>
      <x:c r="D15" s="78" t="n">
        <x:v>6</x:v>
      </x:c>
      <x:c r="E15" s="78" t="n">
        <x:v>451</x:v>
      </x:c>
      <x:c r="F15" s="86" t="n">
        <x:v>452</x:v>
      </x:c>
      <x:c r="G15" s="82" t="n">
        <x:v>0.01327433628318584</x:v>
      </x:c>
      <x:c r="H15" s="78" t="n">
        <x:v>221</x:v>
      </x:c>
      <x:c r="I15" s="82" t="n">
        <x:v>0.022224456958970233</x:v>
      </x:c>
      <x:c r="J15" s="78" t="n">
        <x:v>4693</x:v>
      </x:c>
      <x:c r="K15" s="78" t="n">
        <x:v>0</x:v>
      </x:c>
      <x:c r="L15" s="84" t="n">
        <x:v>32043500</x:v>
      </x:c>
      <x:c r="M15" s="78" t="n">
        <x:v>36</x:v>
      </x:c>
      <x:c r="N15" s="86" t="n">
        <x:v>35.3</x:v>
      </x:c>
      <x:c r="O15" s="86" t="n">
        <x:v>4.1</x:v>
      </x:c>
    </x:row>
    <x:row r="16" ht="18" customHeight="1">
      <x:c r="A16" s="80" t="n">
        <x:v>45992</x:v>
      </x:c>
      <x:c r="B16" s="78" t="n">
        <x:v>451</x:v>
      </x:c>
      <x:c r="C16" s="78" t="n">
        <x:v>11</x:v>
      </x:c>
      <x:c r="D16" s="78" t="n">
        <x:v>6</x:v>
      </x:c>
      <x:c r="E16" s="78" t="n">
        <x:v>456</x:v>
      </x:c>
      <x:c r="F16" s="86" t="n">
        <x:v>453.5</x:v>
      </x:c>
      <x:c r="G16" s="82" t="n">
        <x:v>0.013230429988974642</x:v>
      </x:c>
      <x:c r="H16" s="78" t="n">
        <x:v>240</x:v>
      </x:c>
      <x:c r="I16" s="82" t="n">
        <x:v>0.023009443459086332</x:v>
      </x:c>
      <x:c r="J16" s="78" t="n">
        <x:v>4264</x:v>
      </x:c>
      <x:c r="K16" s="78" t="n">
        <x:v>345</x:v>
      </x:c>
      <x:c r="L16" s="84" t="n">
        <x:v>32286000</x:v>
      </x:c>
      <x:c r="M16" s="78" t="n">
        <x:v>48</x:v>
      </x:c>
      <x:c r="N16" s="86" t="n">
        <x:v>36.6</x:v>
      </x:c>
      <x:c r="O16" s="86" t="n">
        <x:v>3.89</x:v>
      </x:c>
    </x:row>
  </x:sheetData>
  <x:mergeCells>
    <x:mergeCell ref="A1:O2"/>
    <x:mergeCell ref="A3:O3"/>
  </x:mergeCells>
  <x:conditionalFormatting sqref="G5:G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I5:I16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O5:O16">
    <x:cfRule type="colorScale" priority="3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e6ed3abd0c4d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>
      <x:c r="A1" s="70" t="str">
        <x:v>Department-Level Annual HR Summary</x:v>
      </x:c>
      <x:c r="B1" s="70"/>
      <x:c r="C1" s="70"/>
      <x:c r="D1" s="70"/>
      <x:c r="E1" s="70"/>
      <x:c r="F1" s="70"/>
      <x:c r="G1" s="70"/>
      <x:c r="H1" s="70"/>
      <x:c r="I1" s="70"/>
      <x:c r="J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  <x:c r="I3" s="75"/>
      <x:c r="J3" s="75"/>
    </x:row>
    <x:row r="4" ht="28" customHeight="1">
      <x:c r="A4" s="60" t="str">
        <x:v>Department</x:v>
      </x:c>
      <x:c r="B4" s="60" t="str">
        <x:v>Opening Headcount</x:v>
      </x:c>
      <x:c r="C4" s="60" t="str">
        <x:v>Hires</x:v>
      </x:c>
      <x:c r="D4" s="60" t="str">
        <x:v>Exits</x:v>
      </x:c>
      <x:c r="E4" s="60" t="str">
        <x:v>Closing Headcount</x:v>
      </x:c>
      <x:c r="F4" s="60" t="str">
        <x:v>Average Headcount</x:v>
      </x:c>
      <x:c r="G4" s="60" t="str">
        <x:v>Turnover Rate</x:v>
      </x:c>
      <x:c r="H4" s="60" t="str">
        <x:v>Approved Absence Days</x:v>
      </x:c>
      <x:c r="I4" s="60" t="str">
        <x:v>Training Hours</x:v>
      </x:c>
      <x:c r="J4" s="60" t="str">
        <x:v>Average Performance Score</x:v>
      </x:c>
    </x:row>
    <x:row r="5" ht="18" customHeight="1">
      <x:c r="A5" s="78" t="str">
        <x:v>Production</x:v>
      </x:c>
      <x:c r="B5" s="88" t="n">
        <x:v>107</x:v>
      </x:c>
      <x:c r="C5" s="88" t="n">
        <x:v>29</x:v>
      </x:c>
      <x:c r="D5" s="88" t="n">
        <x:v>20</x:v>
      </x:c>
      <x:c r="E5" s="88" t="n">
        <x:v>115</x:v>
      </x:c>
      <x:c r="F5" s="86" t="n">
        <x:v>111</x:v>
      </x:c>
      <x:c r="G5" s="82" t="n">
        <x:v>0.18018018018018017</x:v>
      </x:c>
      <x:c r="H5" s="88" t="n">
        <x:v>1081</x:v>
      </x:c>
      <x:c r="I5" s="88" t="n">
        <x:v>1993</x:v>
      </x:c>
      <x:c r="J5" s="86" t="n">
        <x:v>88.3</x:v>
      </x:c>
    </x:row>
    <x:row r="6" ht="18" customHeight="1">
      <x:c r="A6" s="78" t="str">
        <x:v>Sales &amp; Marketing</x:v>
      </x:c>
      <x:c r="B6" s="88" t="n">
        <x:v>76</x:v>
      </x:c>
      <x:c r="C6" s="88" t="n">
        <x:v>17</x:v>
      </x:c>
      <x:c r="D6" s="88" t="n">
        <x:v>10</x:v>
      </x:c>
      <x:c r="E6" s="88" t="n">
        <x:v>83</x:v>
      </x:c>
      <x:c r="F6" s="86" t="n">
        <x:v>79.5</x:v>
      </x:c>
      <x:c r="G6" s="82" t="n">
        <x:v>0.12578616352201258</x:v>
      </x:c>
      <x:c r="H6" s="88" t="n">
        <x:v>583</x:v>
      </x:c>
      <x:c r="I6" s="88" t="n">
        <x:v>1389</x:v>
      </x:c>
      <x:c r="J6" s="86" t="n">
        <x:v>86.8</x:v>
      </x:c>
    </x:row>
    <x:row r="7" ht="18" customHeight="1">
      <x:c r="A7" s="78" t="str">
        <x:v>Supply Chain &amp; Logistics</x:v>
      </x:c>
      <x:c r="B7" s="88" t="n">
        <x:v>41</x:v>
      </x:c>
      <x:c r="C7" s="88" t="n">
        <x:v>12</x:v>
      </x:c>
      <x:c r="D7" s="88" t="n">
        <x:v>4</x:v>
      </x:c>
      <x:c r="E7" s="88" t="n">
        <x:v>49</x:v>
      </x:c>
      <x:c r="F7" s="86" t="n">
        <x:v>45</x:v>
      </x:c>
      <x:c r="G7" s="82" t="n">
        <x:v>0.08888888888888889</x:v>
      </x:c>
      <x:c r="H7" s="88" t="n">
        <x:v>397</x:v>
      </x:c>
      <x:c r="I7" s="88" t="n">
        <x:v>718</x:v>
      </x:c>
      <x:c r="J7" s="86" t="n">
        <x:v>87.4</x:v>
      </x:c>
    </x:row>
    <x:row r="8" ht="18" customHeight="1">
      <x:c r="A8" s="78" t="str">
        <x:v>Finance &amp; Accounts</x:v>
      </x:c>
      <x:c r="B8" s="88" t="n">
        <x:v>32</x:v>
      </x:c>
      <x:c r="C8" s="88" t="n">
        <x:v>10</x:v>
      </x:c>
      <x:c r="D8" s="88" t="n">
        <x:v>4</x:v>
      </x:c>
      <x:c r="E8" s="88" t="n">
        <x:v>38</x:v>
      </x:c>
      <x:c r="F8" s="86" t="n">
        <x:v>35</x:v>
      </x:c>
      <x:c r="G8" s="82" t="n">
        <x:v>0.11428571428571428</x:v>
      </x:c>
      <x:c r="H8" s="88" t="n">
        <x:v>460</x:v>
      </x:c>
      <x:c r="I8" s="88" t="n">
        <x:v>582</x:v>
      </x:c>
      <x:c r="J8" s="86" t="n">
        <x:v>86.8</x:v>
      </x:c>
    </x:row>
    <x:row r="9" ht="18" customHeight="1">
      <x:c r="A9" s="78" t="str">
        <x:v>HR &amp; Administration</x:v>
      </x:c>
      <x:c r="B9" s="88" t="n">
        <x:v>29</x:v>
      </x:c>
      <x:c r="C9" s="88" t="n">
        <x:v>4</x:v>
      </x:c>
      <x:c r="D9" s="88" t="n">
        <x:v>3</x:v>
      </x:c>
      <x:c r="E9" s="88" t="n">
        <x:v>30</x:v>
      </x:c>
      <x:c r="F9" s="86" t="n">
        <x:v>29.5</x:v>
      </x:c>
      <x:c r="G9" s="82" t="n">
        <x:v>0.1016949152542373</x:v>
      </x:c>
      <x:c r="H9" s="88" t="n">
        <x:v>197</x:v>
      </x:c>
      <x:c r="I9" s="88" t="n">
        <x:v>424</x:v>
      </x:c>
      <x:c r="J9" s="86" t="n">
        <x:v>86.2</x:v>
      </x:c>
    </x:row>
    <x:row r="10" ht="18" customHeight="1">
      <x:c r="A10" s="78" t="str">
        <x:v>Quality Assurance</x:v>
      </x:c>
      <x:c r="B10" s="88" t="n">
        <x:v>35</x:v>
      </x:c>
      <x:c r="C10" s="88" t="n">
        <x:v>2</x:v>
      </x:c>
      <x:c r="D10" s="88" t="n">
        <x:v>2</x:v>
      </x:c>
      <x:c r="E10" s="88" t="n">
        <x:v>35</x:v>
      </x:c>
      <x:c r="F10" s="86" t="n">
        <x:v>35</x:v>
      </x:c>
      <x:c r="G10" s="82" t="n">
        <x:v>0.05714285714285714</x:v>
      </x:c>
      <x:c r="H10" s="88" t="n">
        <x:v>370</x:v>
      </x:c>
      <x:c r="I10" s="88" t="n">
        <x:v>452</x:v>
      </x:c>
      <x:c r="J10" s="86" t="n">
        <x:v>86.6</x:v>
      </x:c>
    </x:row>
    <x:row r="11" ht="18" customHeight="1">
      <x:c r="A11" s="78" t="str">
        <x:v>Engineering &amp; Maintenance</x:v>
      </x:c>
      <x:c r="B11" s="88" t="n">
        <x:v>30</x:v>
      </x:c>
      <x:c r="C11" s="88" t="n">
        <x:v>9</x:v>
      </x:c>
      <x:c r="D11" s="88" t="n">
        <x:v>8</x:v>
      </x:c>
      <x:c r="E11" s="88" t="n">
        <x:v>31</x:v>
      </x:c>
      <x:c r="F11" s="86" t="n">
        <x:v>30.5</x:v>
      </x:c>
      <x:c r="G11" s="82" t="n">
        <x:v>0.26229508196721313</x:v>
      </x:c>
      <x:c r="H11" s="88" t="n">
        <x:v>193</x:v>
      </x:c>
      <x:c r="I11" s="88" t="n">
        <x:v>571</x:v>
      </x:c>
      <x:c r="J11" s="86" t="n">
        <x:v>89</x:v>
      </x:c>
    </x:row>
    <x:row r="12" ht="18" customHeight="1">
      <x:c r="A12" s="78" t="str">
        <x:v>Information Technology</x:v>
      </x:c>
      <x:c r="B12" s="88" t="n">
        <x:v>11</x:v>
      </x:c>
      <x:c r="C12" s="88" t="n">
        <x:v>2</x:v>
      </x:c>
      <x:c r="D12" s="88" t="n">
        <x:v>1</x:v>
      </x:c>
      <x:c r="E12" s="88" t="n">
        <x:v>12</x:v>
      </x:c>
      <x:c r="F12" s="86" t="n">
        <x:v>11.5</x:v>
      </x:c>
      <x:c r="G12" s="82" t="n">
        <x:v>0.08695652173913043</x:v>
      </x:c>
      <x:c r="H12" s="88" t="n">
        <x:v>87</x:v>
      </x:c>
      <x:c r="I12" s="88" t="n">
        <x:v>267</x:v>
      </x:c>
      <x:c r="J12" s="86" t="n">
        <x:v>83.5</x:v>
      </x:c>
    </x:row>
    <x:row r="13" ht="18" customHeight="1">
      <x:c r="A13" s="78" t="str">
        <x:v>Procurement</x:v>
      </x:c>
      <x:c r="B13" s="88" t="n">
        <x:v>15</x:v>
      </x:c>
      <x:c r="C13" s="88" t="n">
        <x:v>2</x:v>
      </x:c>
      <x:c r="D13" s="88" t="n">
        <x:v>3</x:v>
      </x:c>
      <x:c r="E13" s="88" t="n">
        <x:v>14</x:v>
      </x:c>
      <x:c r="F13" s="86" t="n">
        <x:v>14.5</x:v>
      </x:c>
      <x:c r="G13" s="82" t="n">
        <x:v>0.20689655172413793</x:v>
      </x:c>
      <x:c r="H13" s="88" t="n">
        <x:v>119</x:v>
      </x:c>
      <x:c r="I13" s="88" t="n">
        <x:v>270</x:v>
      </x:c>
      <x:c r="J13" s="86" t="n">
        <x:v>86.5</x:v>
      </x:c>
    </x:row>
    <x:row r="14" ht="18" customHeight="1">
      <x:c r="A14" s="78" t="str">
        <x:v>Customer Service</x:v>
      </x:c>
      <x:c r="B14" s="88" t="n">
        <x:v>15</x:v>
      </x:c>
      <x:c r="C14" s="88" t="n">
        <x:v>5</x:v>
      </x:c>
      <x:c r="D14" s="88" t="n">
        <x:v>2</x:v>
      </x:c>
      <x:c r="E14" s="88" t="n">
        <x:v>18</x:v>
      </x:c>
      <x:c r="F14" s="86" t="n">
        <x:v>16.5</x:v>
      </x:c>
      <x:c r="G14" s="82" t="n">
        <x:v>0.12121212121212122</x:v>
      </x:c>
      <x:c r="H14" s="88" t="n">
        <x:v>99</x:v>
      </x:c>
      <x:c r="I14" s="88" t="n">
        <x:v>264</x:v>
      </x:c>
      <x:c r="J14" s="86" t="n">
        <x:v>87.1</x:v>
      </x:c>
    </x:row>
    <x:row r="15" ht="18" customHeight="1">
      <x:c r="A15" s="78" t="str">
        <x:v>Legal &amp; Compliance</x:v>
      </x:c>
      <x:c r="B15" s="88" t="n">
        <x:v>6</x:v>
      </x:c>
      <x:c r="C15" s="88" t="n">
        <x:v>3</x:v>
      </x:c>
      <x:c r="D15" s="88" t="n">
        <x:v>2</x:v>
      </x:c>
      <x:c r="E15" s="88" t="n">
        <x:v>7</x:v>
      </x:c>
      <x:c r="F15" s="86" t="n">
        <x:v>6.5</x:v>
      </x:c>
      <x:c r="G15" s="82" t="n">
        <x:v>0.3076923076923077</x:v>
      </x:c>
      <x:c r="H15" s="88" t="n">
        <x:v>41</x:v>
      </x:c>
      <x:c r="I15" s="88" t="n">
        <x:v>187</x:v>
      </x:c>
      <x:c r="J15" s="86" t="n">
        <x:v>81.3</x:v>
      </x:c>
    </x:row>
    <x:row r="16" ht="18" customHeight="1">
      <x:c r="A16" s="78" t="str">
        <x:v>Corporate Strategy</x:v>
      </x:c>
      <x:c r="B16" s="88" t="n">
        <x:v>24</x:v>
      </x:c>
      <x:c r="C16" s="88" t="n">
        <x:v>1</x:v>
      </x:c>
      <x:c r="D16" s="88" t="n">
        <x:v>1</x:v>
      </x:c>
      <x:c r="E16" s="88" t="n">
        <x:v>24</x:v>
      </x:c>
      <x:c r="F16" s="86" t="n">
        <x:v>24</x:v>
      </x:c>
      <x:c r="G16" s="82" t="n">
        <x:v>0.041666666666666664</x:v>
      </x:c>
      <x:c r="H16" s="88" t="n">
        <x:v>261</x:v>
      </x:c>
      <x:c r="I16" s="88" t="n">
        <x:v>510</x:v>
      </x:c>
      <x:c r="J16" s="86" t="n">
        <x:v>85.7</x:v>
      </x:c>
    </x:row>
  </x:sheetData>
  <x:mergeCells>
    <x:mergeCell ref="A1:J2"/>
    <x:mergeCell ref="A3:J3"/>
  </x:mergeCells>
  <x:conditionalFormatting sqref="G5:G16">
    <x:cfRule type="colorScale" priority="1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conditionalFormatting sqref="J5:J16">
    <x:cfRule type="colorScale" priority="2">
      <x:colorScale>
        <x:cfvo type="min"/>
        <x:cfvo type="percentile" val="50"/>
        <x:cfvo type="max"/>
        <x:color rgb="FFFBEAEA"/>
        <x:color rgb="FFFFF4CC"/>
        <x:color rgb="FFE8F6E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39392d56cd24d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22" hidden="0" customWidth="1"/>
    <x:col min="5" max="5" width="13" hidden="0" customWidth="1"/>
    <x:col min="6" max="6" width="13" hidden="0" customWidth="1"/>
    <x:col min="7" max="7" width="15" hidden="0" customWidth="1"/>
    <x:col min="8" max="8" width="15" hidden="0" customWidth="1"/>
  </x:cols>
  <x:sheetData>
    <x:row r="1">
      <x:c r="A1" s="70" t="str">
        <x:v>Key HR Initiatives, Outcomes and Progress</x:v>
      </x:c>
      <x:c r="B1" s="70"/>
      <x:c r="C1" s="70"/>
      <x:c r="D1" s="70"/>
      <x:c r="E1" s="70"/>
      <x:c r="F1" s="70"/>
      <x:c r="G1" s="70"/>
      <x:c r="H1" s="70"/>
    </x:row>
    <x:row r="2">
      <x:c r="A2" s="70"/>
      <x:c r="B2" s="70"/>
      <x:c r="C2" s="70"/>
      <x:c r="D2" s="70"/>
      <x:c r="E2" s="70"/>
      <x:c r="F2" s="70"/>
      <x:c r="G2" s="70"/>
      <x:c r="H2" s="70"/>
    </x:row>
    <x:row r="3">
      <x:c r="A3" s="75" t="str">
        <x:v>Mokhles Group | Reporting period: 1 Jan–31 Dec 2025 | Synthetic Bangladesh-based demo data</x:v>
      </x:c>
      <x:c r="B3" s="75"/>
      <x:c r="C3" s="75"/>
      <x:c r="D3" s="75"/>
      <x:c r="E3" s="75"/>
      <x:c r="F3" s="75"/>
      <x:c r="G3" s="75"/>
      <x:c r="H3" s="75"/>
    </x:row>
    <x:row r="4" ht="28" customHeight="1">
      <x:c r="A4" s="60" t="str">
        <x:v>Initiative ID</x:v>
      </x:c>
      <x:c r="B4" s="60" t="str">
        <x:v>Initiative</x:v>
      </x:c>
      <x:c r="C4" s="60" t="str">
        <x:v>Strategic Theme</x:v>
      </x:c>
      <x:c r="D4" s="60" t="str">
        <x:v>Owner</x:v>
      </x:c>
      <x:c r="E4" s="60" t="str">
        <x:v>Start Date</x:v>
      </x:c>
      <x:c r="F4" s="60" t="str">
        <x:v>Target Date</x:v>
      </x:c>
      <x:c r="G4" s="60" t="str">
        <x:v>Status</x:v>
      </x:c>
      <x:c r="H4" s="60" t="str">
        <x:v>Outcome</x:v>
      </x:c>
    </x:row>
    <x:row r="5" ht="18" customHeight="1">
      <x:c r="A5" s="78" t="str">
        <x:v>HR-INIT-01</x:v>
      </x:c>
      <x:c r="B5" s="78" t="str">
        <x:v>HRIS attendance module rollout</x:v>
      </x:c>
      <x:c r="C5" s="78" t="str">
        <x:v>Digital HR</x:v>
      </x:c>
      <x:c r="D5" s="78" t="str">
        <x:v>Head of Human Resources</x:v>
      </x:c>
      <x:c r="E5" s="80" t="n">
        <x:v>45672</x:v>
      </x:c>
      <x:c r="F5" s="80" t="n">
        <x:v>45777</x:v>
      </x:c>
      <x:c r="G5" s="78" t="str">
        <x:v>Completed</x:v>
      </x:c>
      <x:c r="H5" s="78" t="str">
        <x:v>Attendance reconciliation time reduced by 38%</x:v>
      </x:c>
    </x:row>
    <x:row r="6" ht="18" customHeight="1">
      <x:c r="A6" s="78" t="str">
        <x:v>HR-INIT-02</x:v>
      </x:c>
      <x:c r="B6" s="78" t="str">
        <x:v>Structured onboarding programme</x:v>
      </x:c>
      <x:c r="C6" s="78" t="str">
        <x:v>Employee Experience</x:v>
      </x:c>
      <x:c r="D6" s="78" t="str">
        <x:v>HR Manager</x:v>
      </x:c>
      <x:c r="E6" s="80" t="n">
        <x:v>45689</x:v>
      </x:c>
      <x:c r="F6" s="80" t="n">
        <x:v>45808</x:v>
      </x:c>
      <x:c r="G6" s="78" t="str">
        <x:v>Completed</x:v>
      </x:c>
      <x:c r="H6" s="78" t="str">
        <x:v>New-hire 90-day completion reached 94%</x:v>
      </x:c>
    </x:row>
    <x:row r="7" ht="18" customHeight="1">
      <x:c r="A7" s="78" t="str">
        <x:v>HR-INIT-03</x:v>
      </x:c>
      <x:c r="B7" s="78" t="str">
        <x:v>Frontline supervisor development</x:v>
      </x:c>
      <x:c r="C7" s="78" t="str">
        <x:v>Leadership</x:v>
      </x:c>
      <x:c r="D7" s="78" t="str">
        <x:v>L&amp;D Lead</x:v>
      </x:c>
      <x:c r="E7" s="80" t="n">
        <x:v>45726</x:v>
      </x:c>
      <x:c r="F7" s="80" t="n">
        <x:v>45961</x:v>
      </x:c>
      <x:c r="G7" s="78" t="str">
        <x:v>Completed</x:v>
      </x:c>
      <x:c r="H7" s="78" t="str">
        <x:v>82 supervisors completed core modules</x:v>
      </x:c>
    </x:row>
    <x:row r="8" ht="18" customHeight="1">
      <x:c r="A8" s="78" t="str">
        <x:v>HR-INIT-04</x:v>
      </x:c>
      <x:c r="B8" s="78" t="str">
        <x:v>Job grading and salary benchmark review</x:v>
      </x:c>
      <x:c r="C8" s="78" t="str">
        <x:v>Rewards</x:v>
      </x:c>
      <x:c r="D8" s="78" t="str">
        <x:v>Compensation Manager</x:v>
      </x:c>
      <x:c r="E8" s="80" t="n">
        <x:v>45748</x:v>
      </x:c>
      <x:c r="F8" s="80" t="n">
        <x:v>45930</x:v>
      </x:c>
      <x:c r="G8" s="78" t="str">
        <x:v>Completed</x:v>
      </x:c>
      <x:c r="H8" s="78" t="str">
        <x:v>Critical pay gaps identified for 14 roles</x:v>
      </x:c>
    </x:row>
    <x:row r="9" ht="18" customHeight="1">
      <x:c r="A9" s="78" t="str">
        <x:v>HR-INIT-05</x:v>
      </x:c>
      <x:c r="B9" s="78" t="str">
        <x:v>Women in leadership mentoring circle</x:v>
      </x:c>
      <x:c r="C9" s="78" t="str">
        <x:v>Diversity &amp; Inclusion</x:v>
      </x:c>
      <x:c r="D9" s="78" t="str">
        <x:v>Senior HR Manager</x:v>
      </x:c>
      <x:c r="E9" s="80" t="n">
        <x:v>45792</x:v>
      </x:c>
      <x:c r="F9" s="80" t="n">
        <x:v>46006</x:v>
      </x:c>
      <x:c r="G9" s="78" t="str">
        <x:v>Completed</x:v>
      </x:c>
      <x:c r="H9" s="78" t="str">
        <x:v>24 employees joined; 7 moved into expanded roles</x:v>
      </x:c>
    </x:row>
    <x:row r="10" ht="18" customHeight="1">
      <x:c r="A10" s="78" t="str">
        <x:v>HR-INIT-06</x:v>
      </x:c>
      <x:c r="B10" s="78" t="str">
        <x:v>Safety behaviour observation programme</x:v>
      </x:c>
      <x:c r="C10" s="78" t="str">
        <x:v>Health &amp; Safety</x:v>
      </x:c>
      <x:c r="D10" s="78" t="str">
        <x:v>HSE Manager</x:v>
      </x:c>
      <x:c r="E10" s="80" t="n">
        <x:v>45809</x:v>
      </x:c>
      <x:c r="F10" s="80" t="n">
        <x:v>46022</x:v>
      </x:c>
      <x:c r="G10" s="78" t="str">
        <x:v>In Progress</x:v>
      </x:c>
      <x:c r="H10" s="78" t="str">
        <x:v>Near-miss reporting increased by 31%</x:v>
      </x:c>
    </x:row>
    <x:row r="11" ht="18" customHeight="1">
      <x:c r="A11" s="78" t="str">
        <x:v>HR-INIT-07</x:v>
      </x:c>
      <x:c r="B11" s="78" t="str">
        <x:v>Talent review and succession mapping</x:v>
      </x:c>
      <x:c r="C11" s="78" t="str">
        <x:v>Talent Management</x:v>
      </x:c>
      <x:c r="D11" s="78" t="str">
        <x:v>Head of Human Resources</x:v>
      </x:c>
      <x:c r="E11" s="80" t="n">
        <x:v>45870</x:v>
      </x:c>
      <x:c r="F11" s="80" t="n">
        <x:v>46081</x:v>
      </x:c>
      <x:c r="G11" s="78" t="str">
        <x:v>In Progress</x:v>
      </x:c>
      <x:c r="H11" s="78" t="str">
        <x:v>Critical roles and potential successors mapped</x:v>
      </x:c>
    </x:row>
    <x:row r="12" ht="18" customHeight="1">
      <x:c r="A12" s="78" t="str">
        <x:v>HR-INIT-08</x:v>
      </x:c>
      <x:c r="B12" s="78" t="str">
        <x:v>Employee listening and action planning</x:v>
      </x:c>
      <x:c r="C12" s="78" t="str">
        <x:v>Engagement</x:v>
      </x:c>
      <x:c r="D12" s="78" t="str">
        <x:v>HR Business Partner</x:v>
      </x:c>
      <x:c r="E12" s="80" t="n">
        <x:v>45901</x:v>
      </x:c>
      <x:c r="F12" s="80" t="n">
        <x:v>46011</x:v>
      </x:c>
      <x:c r="G12" s="78" t="str">
        <x:v>Completed</x:v>
      </x:c>
      <x:c r="H12" s="78" t="str">
        <x:v>Four action themes approved by management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dd7ee6f86ef148a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</x:cols>
  <x:sheetData>
    <x:row r="1">
      <x:c r="A1" s="70" t="str">
        <x:v>Annual HR Report — Notes &amp; Definitions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90" t="str">
        <x:v>Company</x:v>
      </x:c>
      <x:c r="B4" t="str">
        <x:v>Mokhles Group</x:v>
      </x:c>
    </x:row>
    <x:row r="5">
      <x:c r="A5" s="90" t="str">
        <x:v>Country Context</x:v>
      </x:c>
      <x:c r="B5" t="str">
        <x:v>Bangladesh</x:v>
      </x:c>
    </x:row>
    <x:row r="6">
      <x:c r="A6" s="90" t="str">
        <x:v>Reporting Period</x:v>
      </x:c>
      <x:c r="B6" t="str">
        <x:v>1 January–31 December 2025</x:v>
      </x:c>
    </x:row>
    <x:row r="7">
      <x:c r="A7" s="90" t="str">
        <x:v>Currency</x:v>
      </x:c>
      <x:c r="B7" t="str">
        <x:v>Bangladeshi Taka (BDT)</x:v>
      </x:c>
    </x:row>
    <x:row r="8">
      <x:c r="A8" s="90" t="str">
        <x:v>Data Classification</x:v>
      </x:c>
      <x:c r="B8" t="str">
        <x:v>Synthetic / demo data — not real employee information</x:v>
      </x:c>
    </x:row>
    <x:row r="9">
      <x:c r="A9" s="90" t="str">
        <x:v>Portfolio Use</x:v>
      </x:c>
      <x:c r="B9" t="str">
        <x:v>Designed for Kaggle, HR analytics practice, Excel dashboard demonstrations, and interview portfolios</x:v>
      </x:c>
    </x:row>
    <x:row r="10">
      <x:c r="A10" s="90" t="str">
        <x:v>Confidentiality Note</x:v>
      </x:c>
      <x:c r="B10" t="str">
        <x:v>All names, IDs, salaries, incidents, and outcomes are fictional and algorithmically generated.</x:v>
      </x:c>
    </x:row>
    <x:row r="12" ht="28" customHeight="1">
      <x:c r="A12" s="60" t="str">
        <x:v>Term / KPI</x:v>
      </x:c>
      <x:c r="B12" s="60" t="str">
        <x:v>Definition</x:v>
      </x:c>
    </x:row>
    <x:row r="13" ht="32" customHeight="1">
      <x:c r="A13" s="78" t="str">
        <x:v>Annual Turnover</x:v>
      </x:c>
      <x:c r="B13" s="78" t="str">
        <x:v>Total 2025 exits divided by average monthly headcount.</x:v>
      </x:c>
    </x:row>
    <x:row r="14" ht="32" customHeight="1">
      <x:c r="A14" s="78" t="str">
        <x:v>Annual Payroll Cost</x:v>
      </x:c>
      <x:c r="B14" s="78" t="str">
        <x:v>Sum of monthly gross payroll costs across the twelve reporting months.</x:v>
      </x:c>
    </x:row>
    <x:row r="15" ht="32" customHeight="1">
      <x:c r="A15" s="78" t="str">
        <x:v>Training Hours</x:v>
      </x:c>
      <x:c r="B15" s="78" t="str">
        <x:v>Completed participant-hours, not programme duration only.</x:v>
      </x:c>
    </x:row>
    <x:row r="16" ht="32" customHeight="1">
      <x:c r="A16" s="78" t="str">
        <x:v>Department Summary</x:v>
      </x:c>
      <x:c r="B16" s="78" t="str">
        <x:v>Opening/closing headcount, hires, exits, absence, training and performance consolidated by department.</x:v>
      </x:c>
    </x:row>
    <x:row r="17" ht="32" customHeight="1">
      <x:c r="A17" s="78" t="str">
        <x:v>Initiative Status</x:v>
      </x:c>
      <x:c r="B17" s="78" t="str">
        <x:v>Portfolio-style strategic HR action tracker with synthetic outcomes.</x:v>
      </x:c>
    </x:row>
  </x:sheetData>
  <x:mergeCells>
    <x:mergeCell ref="A1:F2"/>
  </x:mergeCells>
  <x:pageMargins left="0.7" right="0.7" top="0.75" bottom="0.75" header="0.3" footer="0.3"/>
</x:worksheet>
</file>